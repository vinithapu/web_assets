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8"/>
  <workbookPr/>
  <mc:AlternateContent xmlns:mc="http://schemas.openxmlformats.org/markup-compatibility/2006">
    <mc:Choice Requires="x15">
      <x15ac:absPath xmlns:x15ac="http://schemas.microsoft.com/office/spreadsheetml/2010/11/ac" url="/Users/buzzsubash/Downloads/"/>
    </mc:Choice>
  </mc:AlternateContent>
  <xr:revisionPtr revIDLastSave="0" documentId="13_ncr:1_{6BA571F1-138B-204B-8141-D84137646F81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IP Calculator" sheetId="1" r:id="rId1"/>
    <sheet name="Lumpsum Calcula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3" i="2" l="1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B65" i="2"/>
  <c r="F64" i="2"/>
  <c r="E64" i="2"/>
  <c r="D64" i="2"/>
  <c r="C64" i="2"/>
  <c r="B64" i="2"/>
  <c r="F63" i="2"/>
  <c r="E63" i="2"/>
  <c r="D63" i="2"/>
  <c r="C63" i="2"/>
  <c r="B63" i="2"/>
  <c r="F62" i="2"/>
  <c r="E62" i="2"/>
  <c r="D62" i="2"/>
  <c r="C62" i="2"/>
  <c r="B62" i="2"/>
  <c r="F61" i="2"/>
  <c r="E61" i="2"/>
  <c r="D61" i="2"/>
  <c r="C61" i="2"/>
  <c r="B61" i="2"/>
  <c r="F60" i="2"/>
  <c r="E60" i="2"/>
  <c r="D60" i="2"/>
  <c r="C60" i="2"/>
  <c r="B60" i="2"/>
  <c r="F59" i="2"/>
  <c r="E59" i="2"/>
  <c r="D59" i="2"/>
  <c r="C59" i="2"/>
  <c r="B59" i="2"/>
  <c r="F58" i="2"/>
  <c r="E58" i="2"/>
  <c r="D58" i="2"/>
  <c r="C58" i="2"/>
  <c r="B58" i="2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E43" i="2"/>
  <c r="C43" i="2"/>
  <c r="B43" i="2"/>
  <c r="E42" i="2"/>
  <c r="C42" i="2"/>
  <c r="B42" i="2"/>
  <c r="E41" i="2"/>
  <c r="C41" i="2"/>
  <c r="B41" i="2"/>
  <c r="E40" i="2"/>
  <c r="C40" i="2"/>
  <c r="B40" i="2"/>
  <c r="E39" i="2"/>
  <c r="C39" i="2"/>
  <c r="B39" i="2"/>
  <c r="E38" i="2"/>
  <c r="C38" i="2"/>
  <c r="B38" i="2"/>
  <c r="E37" i="2"/>
  <c r="C37" i="2"/>
  <c r="B37" i="2"/>
  <c r="E36" i="2"/>
  <c r="C36" i="2"/>
  <c r="B36" i="2"/>
  <c r="E35" i="2"/>
  <c r="C35" i="2"/>
  <c r="B35" i="2"/>
  <c r="E34" i="2"/>
  <c r="C34" i="2"/>
  <c r="B34" i="2"/>
  <c r="F11" i="2"/>
  <c r="F9" i="2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F61" i="1"/>
  <c r="E61" i="1"/>
  <c r="D61" i="1"/>
  <c r="C61" i="1"/>
  <c r="B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F54" i="1"/>
  <c r="E54" i="1"/>
  <c r="D54" i="1"/>
  <c r="C54" i="1"/>
  <c r="B54" i="1"/>
  <c r="F53" i="1"/>
  <c r="E53" i="1"/>
  <c r="D53" i="1"/>
  <c r="C53" i="1"/>
  <c r="B53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E43" i="1"/>
  <c r="C43" i="1"/>
  <c r="B43" i="1"/>
  <c r="E42" i="1"/>
  <c r="C42" i="1"/>
  <c r="B42" i="1"/>
  <c r="E41" i="1"/>
  <c r="C41" i="1"/>
  <c r="B41" i="1"/>
  <c r="E40" i="1"/>
  <c r="C40" i="1"/>
  <c r="B40" i="1"/>
  <c r="E39" i="1"/>
  <c r="C39" i="1"/>
  <c r="B39" i="1"/>
  <c r="E38" i="1"/>
  <c r="C38" i="1"/>
  <c r="B38" i="1"/>
  <c r="E37" i="1"/>
  <c r="C37" i="1"/>
  <c r="B37" i="1"/>
  <c r="E36" i="1"/>
  <c r="C36" i="1"/>
  <c r="B36" i="1"/>
  <c r="E35" i="1"/>
  <c r="C35" i="1"/>
  <c r="B35" i="1"/>
  <c r="E34" i="1"/>
  <c r="C34" i="1"/>
  <c r="B34" i="1"/>
  <c r="F11" i="1"/>
  <c r="F9" i="1"/>
  <c r="F41" i="2" l="1"/>
  <c r="F10" i="2"/>
  <c r="O11" i="2" s="1"/>
  <c r="F43" i="2"/>
  <c r="D43" i="2"/>
  <c r="D41" i="2"/>
  <c r="F40" i="2"/>
  <c r="D40" i="2"/>
  <c r="D35" i="2"/>
  <c r="F42" i="2"/>
  <c r="D42" i="2"/>
  <c r="F43" i="1"/>
  <c r="D43" i="1"/>
  <c r="O10" i="1"/>
  <c r="D39" i="2"/>
  <c r="D38" i="2"/>
  <c r="F34" i="2"/>
  <c r="D34" i="2"/>
  <c r="F36" i="2"/>
  <c r="D36" i="2"/>
  <c r="F34" i="1"/>
  <c r="D34" i="1"/>
  <c r="F12" i="1"/>
  <c r="F10" i="1"/>
  <c r="O11" i="1" s="1"/>
  <c r="F39" i="2"/>
  <c r="F35" i="2"/>
  <c r="F12" i="2"/>
  <c r="O10" i="2"/>
  <c r="F42" i="1"/>
  <c r="D42" i="1"/>
  <c r="F41" i="1"/>
  <c r="D41" i="1"/>
  <c r="F40" i="1"/>
  <c r="D40" i="1"/>
  <c r="F39" i="1"/>
  <c r="D39" i="1"/>
  <c r="F38" i="1"/>
  <c r="D38" i="1"/>
  <c r="F37" i="1"/>
  <c r="D37" i="1"/>
  <c r="F36" i="1"/>
  <c r="D36" i="1"/>
  <c r="F35" i="1"/>
  <c r="D35" i="1"/>
  <c r="F38" i="2"/>
  <c r="F37" i="2"/>
  <c r="D37" i="2"/>
</calcChain>
</file>

<file path=xl/sharedStrings.xml><?xml version="1.0" encoding="utf-8"?>
<sst xmlns="http://schemas.openxmlformats.org/spreadsheetml/2006/main" count="52" uniqueCount="27">
  <si>
    <t>Free Trading Journal &amp; Financial Calculators  |  tickjournal.com</t>
  </si>
  <si>
    <t>SIP Calculator</t>
  </si>
  <si>
    <t>Plan your monthly mutual fund investment — change the inputs below to see how your wealth compounds over time. Adjust monthly amount, expected return, and tenure to project your maturity corpus instantly.</t>
  </si>
  <si>
    <t>YOUR INVESTMENT</t>
  </si>
  <si>
    <t>YOUR RESULTS</t>
  </si>
  <si>
    <t>Monthly Investment (₹)</t>
  </si>
  <si>
    <t>Total Amount Invested</t>
  </si>
  <si>
    <t>Slice</t>
  </si>
  <si>
    <t>Value</t>
  </si>
  <si>
    <t>Expected Annual Return (%)</t>
  </si>
  <si>
    <t>Estimated Returns (Wealth Gained)</t>
  </si>
  <si>
    <t>Amount Invested</t>
  </si>
  <si>
    <t>Investment Period (Years)</t>
  </si>
  <si>
    <t>Total Value at Maturity</t>
  </si>
  <si>
    <t>Estimated Returns</t>
  </si>
  <si>
    <t>Inflation Rate (%) — optional</t>
  </si>
  <si>
    <t>Inflation-Adjusted Value (today's ₹)</t>
  </si>
  <si>
    <t>INVESTMENT BREAKDOWN</t>
  </si>
  <si>
    <t>YEAR-WISE GROWTH</t>
  </si>
  <si>
    <t>YEAR-BY-YEAR GROWTH TABLE</t>
  </si>
  <si>
    <t>Year</t>
  </si>
  <si>
    <t>Total Value</t>
  </si>
  <si>
    <t>Inflation-Adjusted</t>
  </si>
  <si>
    <t>Built by tickjournal.com  |  Free Trading Journal &amp; Calculators  |  Estimates only — not financial advice. Consult a SEBI-registered advisor before investing.</t>
  </si>
  <si>
    <t>Lumpsum Calculator</t>
  </si>
  <si>
    <t>Calculate the future value of a one-time investment — enter the amount you plan to invest today, your expected annual return, and the tenure to see how your lumpsum grows year by year.</t>
  </si>
  <si>
    <t>Total Investment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</si>
</sst>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\₹* #,##0_-;_-\₹* \(#,##0\);_-\₹* \-_-;_-@_-"/>
    <numFmt numFmtId="165" formatCode="0.00\%"/>
  </numFmts>
  <fonts count="13" x14ac:knownFonts="1">
    <font>
      <sz val="11"/>
      <color theme="1"/>
      <name val="Calibri"/>
      <family val="2"/>
      <charset val="1"/>
    </font>
    <font>
      <i/>
      <sz val="9"/>
      <color rgb="FF5CC6FF"/>
      <name val="Arial"/>
      <family val="2"/>
    </font>
    <font>
      <b/>
      <sz val="22"/>
      <color rgb="FF0B1426"/>
      <name val="Arial"/>
      <family val="2"/>
    </font>
    <font>
      <sz val="10"/>
      <color rgb="FF64748B"/>
      <name val="Arial"/>
      <family val="2"/>
    </font>
    <font>
      <b/>
      <sz val="11"/>
      <color rgb="FFFFFFFF"/>
      <name val="Arial"/>
      <family val="2"/>
    </font>
    <font>
      <sz val="10"/>
      <color rgb="FF0F172A"/>
      <name val="Arial"/>
      <family val="2"/>
    </font>
    <font>
      <b/>
      <sz val="11"/>
      <color rgb="FF0000FF"/>
      <name val="Arial"/>
      <family val="2"/>
    </font>
    <font>
      <b/>
      <sz val="11"/>
      <color rgb="FF0F172A"/>
      <name val="Arial"/>
      <family val="2"/>
    </font>
    <font>
      <sz val="9"/>
      <color rgb="FF64748B"/>
      <name val="Arial"/>
      <family val="2"/>
    </font>
    <font>
      <b/>
      <sz val="12"/>
      <color rgb="FF0B1426"/>
      <name val="Arial"/>
      <family val="2"/>
    </font>
    <font>
      <b/>
      <sz val="10"/>
      <color rgb="FFFFFFFF"/>
      <name val="Arial"/>
      <family val="2"/>
    </font>
    <font>
      <b/>
      <sz val="10"/>
      <color rgb="FF0F172A"/>
      <name val="Arial"/>
      <family val="2"/>
    </font>
    <font>
      <sz val="8"/>
      <color rgb="FF5CC6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B1426"/>
        <bgColor rgb="FF0F172A"/>
      </patternFill>
    </fill>
    <fill>
      <patternFill patternType="solid">
        <fgColor rgb="FF12233D"/>
        <bgColor rgb="FF0F172A"/>
      </patternFill>
    </fill>
    <fill>
      <patternFill patternType="solid">
        <fgColor rgb="FFEEF2F7"/>
        <bgColor rgb="FFF8FAFC"/>
      </patternFill>
    </fill>
    <fill>
      <patternFill patternType="solid">
        <fgColor rgb="FFFEF9C3"/>
        <bgColor rgb="FFF8FAFC"/>
      </patternFill>
    </fill>
    <fill>
      <patternFill patternType="solid">
        <fgColor rgb="FFECFDF5"/>
        <bgColor rgb="FFF8FAFC"/>
      </patternFill>
    </fill>
    <fill>
      <patternFill patternType="solid">
        <fgColor rgb="FF85FFC4"/>
        <bgColor rgb="FF99CCFF"/>
      </patternFill>
    </fill>
    <fill>
      <patternFill patternType="solid">
        <fgColor rgb="FFF8FAFC"/>
        <bgColor rgb="FFFFFFFF"/>
      </patternFill>
    </fill>
  </fills>
  <borders count="2">
    <border>
      <left/>
      <right/>
      <top/>
      <bottom/>
      <diagonal/>
    </border>
    <border>
      <left style="thin">
        <color rgb="FFD6DDE6"/>
      </left>
      <right style="thin">
        <color rgb="FFD6DDE6"/>
      </right>
      <top style="thin">
        <color rgb="FFD6DDE6"/>
      </top>
      <bottom style="thin">
        <color rgb="FFD6DD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2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/>
    <xf numFmtId="0" fontId="5" fillId="4" borderId="1" xfId="0" applyFont="1" applyFill="1" applyBorder="1" applyAlignment="1">
      <alignment horizontal="left" vertical="center" wrapText="1" indent="1"/>
    </xf>
    <xf numFmtId="164" fontId="6" fillId="5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8" fillId="0" borderId="0" xfId="0" applyFont="1"/>
    <xf numFmtId="165" fontId="6" fillId="5" borderId="1" xfId="0" applyNumberFormat="1" applyFont="1" applyFill="1" applyBorder="1" applyAlignment="1">
      <alignment horizontal="right" vertical="center"/>
    </xf>
    <xf numFmtId="164" fontId="8" fillId="0" borderId="0" xfId="0" applyNumberFormat="1" applyFont="1"/>
    <xf numFmtId="3" fontId="6" fillId="5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3" fontId="11" fillId="8" borderId="1" xfId="0" applyNumberFormat="1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right" vertical="center"/>
    </xf>
    <xf numFmtId="3" fontId="11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ECFDF5"/>
      <rgbColor rgb="FF660066"/>
      <rgbColor rgb="FFFF8080"/>
      <rgbColor rgb="FF2E5F99"/>
      <rgbColor rgb="FFD6DD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F8FAFC"/>
      <rgbColor rgb="FF85FFC4"/>
      <rgbColor rgb="FF99CCFF"/>
      <rgbColor rgb="FFFF99CC"/>
      <rgbColor rgb="FFCC99FF"/>
      <rgbColor rgb="FFFFCC99"/>
      <rgbColor rgb="FF397BCA"/>
      <rgbColor rgb="FF5CC6FF"/>
      <rgbColor rgb="FF99CC00"/>
      <rgbColor rgb="FFFFCC00"/>
      <rgbColor rgb="FFFF9900"/>
      <rgbColor rgb="FFFF6600"/>
      <rgbColor rgb="FF64748B"/>
      <rgbColor rgb="FF969696"/>
      <rgbColor rgb="FF12233D"/>
      <rgbColor rgb="FF339966"/>
      <rgbColor rgb="FF0F172A"/>
      <rgbColor rgb="FF333300"/>
      <rgbColor rgb="FF993300"/>
      <rgbColor rgb="FF993366"/>
      <rgbColor rgb="FF333399"/>
      <rgbColor rgb="FF0B14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Invested vs Returns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'SIP Calculator'!$O$9</c:f>
              <c:strCache>
                <c:ptCount val="1"/>
                <c:pt idx="0">
                  <c:v>Value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solidFill>
                <a:srgbClr val="5CC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EB0-3248-95C0-761A007809B6}"/>
              </c:ext>
            </c:extLst>
          </c:dPt>
          <c:dPt>
            <c:idx val="1"/>
            <c:bubble3D val="0"/>
            <c:spPr>
              <a:solidFill>
                <a:srgbClr val="85FF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EB0-3248-95C0-761A007809B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EB0-3248-95C0-761A007809B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EB0-3248-95C0-761A007809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'SIP Calculator'!$N$10:$N$11</c:f>
              <c:strCache>
                <c:ptCount val="2"/>
                <c:pt idx="0">
                  <c:v>Amount Invested</c:v>
                </c:pt>
                <c:pt idx="1">
                  <c:v>Estimated Returns</c:v>
                </c:pt>
              </c:strCache>
            </c:strRef>
          </c:cat>
          <c:val>
            <c:numRef>
              <c:f>'SIP Calculator'!$O$10:$O$11</c:f>
              <c:numCache>
                <c:formatCode>_-\₹* #,##0_-;_-\₹* \(#,##0\);_-\₹* \-_-;_-@_-</c:formatCode>
                <c:ptCount val="2"/>
                <c:pt idx="0">
                  <c:v>600000</c:v>
                </c:pt>
                <c:pt idx="1">
                  <c:v>561695.38175970339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B0-3248-95C0-761A00780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Year-by-Year Wealth Buildup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'SIP Calculator'!$C$33</c:f>
              <c:strCache>
                <c:ptCount val="1"/>
                <c:pt idx="0">
                  <c:v>Amount Invested</c:v>
                </c:pt>
              </c:strCache>
            </c:strRef>
          </c:tx>
          <c:spPr>
            <a:solidFill>
              <a:srgbClr val="5CC6FF"/>
            </a:solidFill>
            <a:ln w="9360">
              <a:solidFill>
                <a:srgbClr val="5CC6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'SIP Calculator'!$B$34:$B$73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'SIP Calculator'!$C$34:$C$73</c:f>
              <c:numCache>
                <c:formatCode>_-\₹* #,##0_-;_-\₹* \(#,##0\);_-\₹* \-_-;_-@_-</c:formatCode>
                <c:ptCount val="40"/>
                <c:pt idx="0">
                  <c:v>60000</c:v>
                </c:pt>
                <c:pt idx="1">
                  <c:v>120000</c:v>
                </c:pt>
                <c:pt idx="2">
                  <c:v>180000</c:v>
                </c:pt>
                <c:pt idx="3">
                  <c:v>240000</c:v>
                </c:pt>
                <c:pt idx="4">
                  <c:v>300000</c:v>
                </c:pt>
                <c:pt idx="5">
                  <c:v>360000</c:v>
                </c:pt>
                <c:pt idx="6">
                  <c:v>420000</c:v>
                </c:pt>
                <c:pt idx="7">
                  <c:v>480000</c:v>
                </c:pt>
                <c:pt idx="8">
                  <c:v>540000</c:v>
                </c:pt>
                <c:pt idx="9">
                  <c:v>600000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2-5D49-8FEC-9A2D64C9D46B}"/>
            </c:ext>
          </c:extLst>
        </c:ser>
        <c:ser>
          <c:idx val="1"/>
          <c:order val="1"/>
          <c:tx>
            <c:strRef>
              <c:f>'SIP Calculator'!$D$33</c:f>
              <c:strCache>
                <c:ptCount val="1"/>
                <c:pt idx="0">
                  <c:v>Estimated Returns</c:v>
                </c:pt>
              </c:strCache>
            </c:strRef>
          </c:tx>
          <c:spPr>
            <a:solidFill>
              <a:srgbClr val="85FFC4"/>
            </a:solidFill>
            <a:ln w="9360">
              <a:solidFill>
                <a:srgbClr val="85FFC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'SIP Calculator'!$B$34:$B$73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'SIP Calculator'!$D$34:$D$73</c:f>
              <c:numCache>
                <c:formatCode>_-\₹* #,##0_-;_-\₹* \(#,##0\);_-\₹* \-_-;_-@_-</c:formatCode>
                <c:ptCount val="40"/>
                <c:pt idx="0">
                  <c:v>4046.6402166447297</c:v>
                </c:pt>
                <c:pt idx="1">
                  <c:v>16215.99750861706</c:v>
                </c:pt>
                <c:pt idx="2">
                  <c:v>37538.235713748407</c:v>
                </c:pt>
                <c:pt idx="3">
                  <c:v>69174.169229644991</c:v>
                </c:pt>
                <c:pt idx="4">
                  <c:v>112431.83277486614</c:v>
                </c:pt>
                <c:pt idx="5">
                  <c:v>168785.15261056705</c:v>
                </c:pt>
                <c:pt idx="6">
                  <c:v>239894.98574038525</c:v>
                </c:pt>
                <c:pt idx="7">
                  <c:v>327632.82740749011</c:v>
                </c:pt>
                <c:pt idx="8">
                  <c:v>434107.5252956578</c:v>
                </c:pt>
                <c:pt idx="9">
                  <c:v>561695.38175970339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2-5D49-8FEC-9A2D64C9D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285808"/>
        <c:axId val="24018861"/>
      </c:barChart>
      <c:catAx>
        <c:axId val="892858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18861"/>
        <c:crosses val="autoZero"/>
        <c:auto val="1"/>
        <c:lblAlgn val="ctr"/>
        <c:lblOffset val="100"/>
        <c:noMultiLvlLbl val="0"/>
      </c:catAx>
      <c:valAx>
        <c:axId val="24018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\₹* #,##0_-;_-\₹* \(#,##0\);_-\₹* \-_-;_-@_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858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Invested vs Returns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'Lumpsum Calculator'!$O$9</c:f>
              <c:strCache>
                <c:ptCount val="1"/>
                <c:pt idx="0">
                  <c:v>Value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solidFill>
                <a:srgbClr val="5CC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2BF-7548-BE56-A3C86307B33B}"/>
              </c:ext>
            </c:extLst>
          </c:dPt>
          <c:dPt>
            <c:idx val="1"/>
            <c:bubble3D val="0"/>
            <c:spPr>
              <a:solidFill>
                <a:srgbClr val="85FFC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2BF-7548-BE56-A3C86307B33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2BF-7548-BE56-A3C86307B33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2BF-7548-BE56-A3C86307B3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'Lumpsum Calculator'!$N$10:$N$11</c:f>
              <c:strCache>
                <c:ptCount val="2"/>
                <c:pt idx="0">
                  <c:v>Amount Invested</c:v>
                </c:pt>
                <c:pt idx="1">
                  <c:v>Estimated Returns</c:v>
                </c:pt>
              </c:strCache>
            </c:strRef>
          </c:cat>
          <c:val>
            <c:numRef>
              <c:f>'Lumpsum Calculator'!$O$10:$O$11</c:f>
              <c:numCache>
                <c:formatCode>_-\₹* #,##0_-;_-\₹* \(#,##0\);_-\₹* \-_-;_-@_-</c:formatCode>
                <c:ptCount val="2"/>
                <c:pt idx="0">
                  <c:v>100000</c:v>
                </c:pt>
                <c:pt idx="1">
                  <c:v>210584.82083442109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BF-7548-BE56-A3C86307B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Year-by-Year Wealth Buildup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'Lumpsum Calculator'!$C$33</c:f>
              <c:strCache>
                <c:ptCount val="1"/>
                <c:pt idx="0">
                  <c:v>Amount Invested</c:v>
                </c:pt>
              </c:strCache>
            </c:strRef>
          </c:tx>
          <c:spPr>
            <a:solidFill>
              <a:srgbClr val="5CC6FF"/>
            </a:solidFill>
            <a:ln w="9360">
              <a:solidFill>
                <a:srgbClr val="5CC6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'Lumpsum Calculator'!$B$34:$B$73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'Lumpsum Calculator'!$C$34:$C$73</c:f>
              <c:numCache>
                <c:formatCode>_-\₹* #,##0_-;_-\₹* \(#,##0\);_-\₹* \-_-;_-@_-</c:formatCode>
                <c:ptCount val="40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8-4C45-B61A-48A02F03B51A}"/>
            </c:ext>
          </c:extLst>
        </c:ser>
        <c:ser>
          <c:idx val="1"/>
          <c:order val="1"/>
          <c:tx>
            <c:strRef>
              <c:f>'Lumpsum Calculator'!$D$33</c:f>
              <c:strCache>
                <c:ptCount val="1"/>
                <c:pt idx="0">
                  <c:v>Estimated Returns</c:v>
                </c:pt>
              </c:strCache>
            </c:strRef>
          </c:tx>
          <c:spPr>
            <a:solidFill>
              <a:srgbClr val="85FFC4"/>
            </a:solidFill>
            <a:ln w="9360">
              <a:solidFill>
                <a:srgbClr val="85FFC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'Lumpsum Calculator'!$B$34:$B$73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'Lumpsum Calculator'!$D$34:$D$73</c:f>
              <c:numCache>
                <c:formatCode>_-\₹* #,##0_-;_-\₹* \(#,##0\);_-\₹* \-_-;_-@_-</c:formatCode>
                <c:ptCount val="40"/>
                <c:pt idx="0">
                  <c:v>12000.000000000015</c:v>
                </c:pt>
                <c:pt idx="1">
                  <c:v>25440.000000000015</c:v>
                </c:pt>
                <c:pt idx="2">
                  <c:v>40492.800000000047</c:v>
                </c:pt>
                <c:pt idx="3">
                  <c:v>57351.936000000045</c:v>
                </c:pt>
                <c:pt idx="4">
                  <c:v>76234.168320000055</c:v>
                </c:pt>
                <c:pt idx="5">
                  <c:v>97382.268518400087</c:v>
                </c:pt>
                <c:pt idx="6">
                  <c:v>121068.1407406081</c:v>
                </c:pt>
                <c:pt idx="7">
                  <c:v>147596.31762948108</c:v>
                </c:pt>
                <c:pt idx="8">
                  <c:v>177307.87574501883</c:v>
                </c:pt>
                <c:pt idx="9">
                  <c:v>210584.82083442109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8-4C45-B61A-48A02F03B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590253"/>
        <c:axId val="11734497"/>
      </c:barChart>
      <c:catAx>
        <c:axId val="945902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34497"/>
        <c:crosses val="autoZero"/>
        <c:auto val="1"/>
        <c:lblAlgn val="ctr"/>
        <c:lblOffset val="100"/>
        <c:noMultiLvlLbl val="0"/>
      </c:catAx>
      <c:valAx>
        <c:axId val="11734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\₹* #,##0_-;_-\₹* \(#,##0\);_-\₹* \-_-;_-@_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5902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3</xdr:col>
      <xdr:colOff>294480</xdr:colOff>
      <xdr:row>26</xdr:row>
      <xdr:rowOff>136440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10</xdr:col>
      <xdr:colOff>1233360</xdr:colOff>
      <xdr:row>26</xdr:row>
      <xdr:rowOff>136440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1875960</xdr:colOff>
      <xdr:row>1</xdr:row>
      <xdr:rowOff>352080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1880" y="171360"/>
          <a:ext cx="1875960" cy="352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3</xdr:col>
      <xdr:colOff>294480</xdr:colOff>
      <xdr:row>26</xdr:row>
      <xdr:rowOff>136440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10</xdr:col>
      <xdr:colOff>1233360</xdr:colOff>
      <xdr:row>26</xdr:row>
      <xdr:rowOff>136440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1875960</xdr:colOff>
      <xdr:row>1</xdr:row>
      <xdr:rowOff>352080</xdr:rowOff>
    </xdr:to>
    <xdr:pic>
      <xdr:nvPicPr>
        <xdr:cNvPr id="5" name="Image 3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81880" y="171360"/>
          <a:ext cx="1875960" cy="352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426"/>
  </sheetPr>
  <dimension ref="A1:O75"/>
  <sheetViews>
    <sheetView showGridLines="0" tabSelected="1" zoomScaleNormal="100" workbookViewId="0"/>
  </sheetViews>
  <sheetFormatPr baseColWidth="10" defaultColWidth="8.6640625" defaultRowHeight="15" x14ac:dyDescent="0.2"/>
  <cols>
    <col min="1" max="1" width="4" customWidth="1"/>
    <col min="2" max="2" width="32" customWidth="1"/>
    <col min="3" max="3" width="20" customWidth="1"/>
    <col min="4" max="4" width="5" customWidth="1"/>
    <col min="5" max="5" width="32" customWidth="1"/>
    <col min="6" max="6" width="22" customWidth="1"/>
    <col min="7" max="7" width="4" customWidth="1"/>
    <col min="8" max="10" width="18" customWidth="1"/>
    <col min="11" max="11" width="22" customWidth="1"/>
    <col min="12" max="12" width="4" customWidth="1"/>
  </cols>
  <sheetData>
    <row r="1" spans="1:15" ht="13.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5" ht="37.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5" ht="21.75" customHeight="1" x14ac:dyDescent="0.2">
      <c r="A3" s="6"/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1:15" ht="12" customHeight="1" x14ac:dyDescent="0.2"/>
    <row r="5" spans="1:15" ht="31.5" customHeight="1" x14ac:dyDescent="0.2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</row>
    <row r="6" spans="1:15" ht="36" customHeight="1" x14ac:dyDescent="0.2">
      <c r="B6" s="3" t="s">
        <v>2</v>
      </c>
      <c r="C6" s="3"/>
      <c r="D6" s="3"/>
      <c r="E6" s="3"/>
      <c r="F6" s="3"/>
      <c r="G6" s="3"/>
      <c r="H6" s="3"/>
      <c r="I6" s="3"/>
      <c r="J6" s="3"/>
      <c r="K6" s="3"/>
    </row>
    <row r="7" spans="1:15" ht="7.5" customHeight="1" x14ac:dyDescent="0.2"/>
    <row r="8" spans="1:15" ht="25.5" customHeight="1" x14ac:dyDescent="0.2">
      <c r="B8" s="2" t="s">
        <v>3</v>
      </c>
      <c r="C8" s="2"/>
      <c r="E8" s="2" t="s">
        <v>4</v>
      </c>
      <c r="F8" s="2"/>
    </row>
    <row r="9" spans="1:15" ht="24" customHeight="1" x14ac:dyDescent="0.2">
      <c r="B9" s="7" t="s">
        <v>5</v>
      </c>
      <c r="C9" s="8">
        <v>5000</v>
      </c>
      <c r="E9" s="7" t="s">
        <v>6</v>
      </c>
      <c r="F9" s="9">
        <f>C9*C11*12</f>
        <v>600000</v>
      </c>
      <c r="N9" s="10" t="s">
        <v>7</v>
      </c>
      <c r="O9" s="10" t="s">
        <v>8</v>
      </c>
    </row>
    <row r="10" spans="1:15" ht="24" customHeight="1" x14ac:dyDescent="0.2">
      <c r="B10" s="7" t="s">
        <v>9</v>
      </c>
      <c r="C10" s="11">
        <v>12</v>
      </c>
      <c r="E10" s="7" t="s">
        <v>10</v>
      </c>
      <c r="F10" s="9">
        <f>F11-F9</f>
        <v>561695.38175970339</v>
      </c>
      <c r="N10" s="10" t="s">
        <v>11</v>
      </c>
      <c r="O10" s="12">
        <f>F9</f>
        <v>600000</v>
      </c>
    </row>
    <row r="11" spans="1:15" ht="24" customHeight="1" x14ac:dyDescent="0.2">
      <c r="B11" s="7" t="s">
        <v>12</v>
      </c>
      <c r="C11" s="13">
        <v>10</v>
      </c>
      <c r="E11" s="7" t="s">
        <v>13</v>
      </c>
      <c r="F11" s="14">
        <f>C9*(((1+C10/100/12)^(C11*12)-1)/(C10/100/12))*(1+C10/100/12)</f>
        <v>1161695.3817597034</v>
      </c>
      <c r="N11" s="10" t="s">
        <v>14</v>
      </c>
      <c r="O11" s="12">
        <f>F10</f>
        <v>561695.38175970339</v>
      </c>
    </row>
    <row r="12" spans="1:15" ht="24" customHeight="1" x14ac:dyDescent="0.2">
      <c r="B12" s="7" t="s">
        <v>15</v>
      </c>
      <c r="C12" s="11">
        <v>6</v>
      </c>
      <c r="E12" s="7" t="s">
        <v>16</v>
      </c>
      <c r="F12" s="9">
        <f>F11/((1+C12/100)^C11)</f>
        <v>648684.63354103232</v>
      </c>
    </row>
    <row r="13" spans="1:15" ht="13.5" customHeight="1" x14ac:dyDescent="0.2"/>
    <row r="14" spans="1:15" ht="25.5" customHeight="1" x14ac:dyDescent="0.2">
      <c r="B14" s="2" t="s">
        <v>17</v>
      </c>
      <c r="C14" s="2"/>
      <c r="D14" s="2"/>
      <c r="E14" s="2"/>
      <c r="F14" s="2"/>
      <c r="H14" s="2" t="s">
        <v>18</v>
      </c>
      <c r="I14" s="2"/>
      <c r="J14" s="2"/>
      <c r="K14" s="2"/>
    </row>
    <row r="15" spans="1:15" ht="18" customHeight="1" x14ac:dyDescent="0.2"/>
    <row r="16" spans="1:15" ht="18" customHeight="1" x14ac:dyDescent="0.2"/>
    <row r="17" spans="2:6" ht="18" customHeight="1" x14ac:dyDescent="0.2"/>
    <row r="18" spans="2:6" ht="18" customHeight="1" x14ac:dyDescent="0.2"/>
    <row r="19" spans="2:6" ht="18" customHeight="1" x14ac:dyDescent="0.2"/>
    <row r="20" spans="2:6" ht="18" customHeight="1" x14ac:dyDescent="0.2"/>
    <row r="21" spans="2:6" ht="18" customHeight="1" x14ac:dyDescent="0.2"/>
    <row r="22" spans="2:6" ht="18" customHeight="1" x14ac:dyDescent="0.2"/>
    <row r="23" spans="2:6" ht="18" customHeight="1" x14ac:dyDescent="0.2"/>
    <row r="24" spans="2:6" ht="18" customHeight="1" x14ac:dyDescent="0.2"/>
    <row r="25" spans="2:6" ht="18" customHeight="1" x14ac:dyDescent="0.2"/>
    <row r="26" spans="2:6" ht="18" customHeight="1" x14ac:dyDescent="0.2"/>
    <row r="27" spans="2:6" ht="18" customHeight="1" x14ac:dyDescent="0.2"/>
    <row r="28" spans="2:6" ht="18" customHeight="1" x14ac:dyDescent="0.2"/>
    <row r="29" spans="2:6" ht="18" customHeight="1" x14ac:dyDescent="0.2"/>
    <row r="30" spans="2:6" ht="18" customHeight="1" x14ac:dyDescent="0.2"/>
    <row r="31" spans="2:6" ht="13.5" customHeight="1" x14ac:dyDescent="0.2"/>
    <row r="32" spans="2:6" ht="25.5" customHeight="1" x14ac:dyDescent="0.2">
      <c r="B32" s="2" t="s">
        <v>19</v>
      </c>
      <c r="C32" s="2"/>
      <c r="D32" s="2"/>
      <c r="E32" s="2"/>
      <c r="F32" s="2"/>
    </row>
    <row r="33" spans="2:6" ht="30" customHeight="1" x14ac:dyDescent="0.2">
      <c r="B33" s="15" t="s">
        <v>20</v>
      </c>
      <c r="C33" s="15" t="s">
        <v>11</v>
      </c>
      <c r="D33" s="15" t="s">
        <v>14</v>
      </c>
      <c r="E33" s="15" t="s">
        <v>21</v>
      </c>
      <c r="F33" s="15" t="s">
        <v>22</v>
      </c>
    </row>
    <row r="34" spans="2:6" ht="19.5" customHeight="1" x14ac:dyDescent="0.2">
      <c r="B34" s="16">
        <f>IF($C$11&gt;=1,1,"")</f>
        <v>1</v>
      </c>
      <c r="C34" s="17">
        <f>IF($C$11&gt;=1,$C$9*12*1,"")</f>
        <v>60000</v>
      </c>
      <c r="D34" s="17">
        <f>IF($C$11&gt;=1,E34-C34,"")</f>
        <v>4046.6402166447297</v>
      </c>
      <c r="E34" s="17">
        <f>IF($C$11&gt;=1,$C$9*(((1+$C$10/100/12)^(1*12)-1)/($C$10/100/12))*(1+$C$10/100/12),"")</f>
        <v>64046.64021664473</v>
      </c>
      <c r="F34" s="17">
        <f>IF($C$11&gt;=1,E34/((1+$C$12/100)^1),"")</f>
        <v>60421.358694947856</v>
      </c>
    </row>
    <row r="35" spans="2:6" ht="19.5" customHeight="1" x14ac:dyDescent="0.2">
      <c r="B35" s="18">
        <f>IF($C$11&gt;=2,2,"")</f>
        <v>2</v>
      </c>
      <c r="C35" s="19">
        <f>IF($C$11&gt;=2,$C$9*12*2,"")</f>
        <v>120000</v>
      </c>
      <c r="D35" s="19">
        <f>IF($C$11&gt;=2,E35-C35,"")</f>
        <v>16215.99750861706</v>
      </c>
      <c r="E35" s="19">
        <f>IF($C$11&gt;=2,$C$9*(((1+$C$10/100/12)^(2*12)-1)/($C$10/100/12))*(1+$C$10/100/12),"")</f>
        <v>136215.99750861706</v>
      </c>
      <c r="F35" s="19">
        <f>IF($C$11&gt;=2,E35/((1+$C$12/100)^2),"")</f>
        <v>121231.75285565775</v>
      </c>
    </row>
    <row r="36" spans="2:6" ht="19.5" customHeight="1" x14ac:dyDescent="0.2">
      <c r="B36" s="16">
        <f>IF($C$11&gt;=3,3,"")</f>
        <v>3</v>
      </c>
      <c r="C36" s="17">
        <f>IF($C$11&gt;=3,$C$9*12*3,"")</f>
        <v>180000</v>
      </c>
      <c r="D36" s="17">
        <f>IF($C$11&gt;=3,E36-C36,"")</f>
        <v>37538.235713748407</v>
      </c>
      <c r="E36" s="17">
        <f>IF($C$11&gt;=3,$C$9*(((1+$C$10/100/12)^(3*12)-1)/($C$10/100/12))*(1+$C$10/100/12),"")</f>
        <v>217538.23571374841</v>
      </c>
      <c r="F36" s="17">
        <f>IF($C$11&gt;=3,E36/((1+$C$12/100)^3),"")</f>
        <v>182649.29750208926</v>
      </c>
    </row>
    <row r="37" spans="2:6" ht="19.5" customHeight="1" x14ac:dyDescent="0.2">
      <c r="B37" s="18">
        <f>IF($C$11&gt;=4,4,"")</f>
        <v>4</v>
      </c>
      <c r="C37" s="19">
        <f>IF($C$11&gt;=4,$C$9*12*4,"")</f>
        <v>240000</v>
      </c>
      <c r="D37" s="19">
        <f>IF($C$11&gt;=4,E37-C37,"")</f>
        <v>69174.169229644991</v>
      </c>
      <c r="E37" s="19">
        <f>IF($C$11&gt;=4,$C$9*(((1+$C$10/100/12)^(4*12)-1)/($C$10/100/12))*(1+$C$10/100/12),"")</f>
        <v>309174.16922964499</v>
      </c>
      <c r="F37" s="19">
        <f>IF($C$11&gt;=4,E37/((1+$C$12/100)^4),"")</f>
        <v>244894.90028368114</v>
      </c>
    </row>
    <row r="38" spans="2:6" ht="19.5" customHeight="1" x14ac:dyDescent="0.2">
      <c r="B38" s="16">
        <f>IF($C$11&gt;=5,5,"")</f>
        <v>5</v>
      </c>
      <c r="C38" s="17">
        <f>IF($C$11&gt;=5,$C$9*12*5,"")</f>
        <v>300000</v>
      </c>
      <c r="D38" s="17">
        <f>IF($C$11&gt;=5,E38-C38,"")</f>
        <v>112431.83277486614</v>
      </c>
      <c r="E38" s="17">
        <f>IF($C$11&gt;=5,$C$9*(((1+$C$10/100/12)^(5*12)-1)/($C$10/100/12))*(1+$C$10/100/12),"")</f>
        <v>412431.83277486614</v>
      </c>
      <c r="F38" s="17">
        <f>IF($C$11&gt;=5,E38/((1+$C$12/100)^5),"")</f>
        <v>308193.05779114558</v>
      </c>
    </row>
    <row r="39" spans="2:6" ht="19.5" customHeight="1" x14ac:dyDescent="0.2">
      <c r="B39" s="18">
        <f>IF($C$11&gt;=6,6,"")</f>
        <v>6</v>
      </c>
      <c r="C39" s="19">
        <f>IF($C$11&gt;=6,$C$9*12*6,"")</f>
        <v>360000</v>
      </c>
      <c r="D39" s="19">
        <f>IF($C$11&gt;=6,E39-C39,"")</f>
        <v>168785.15261056705</v>
      </c>
      <c r="E39" s="19">
        <f>IF($C$11&gt;=6,$C$9*(((1+$C$10/100/12)^(6*12)-1)/($C$10/100/12))*(1+$C$10/100/12),"")</f>
        <v>528785.15261056705</v>
      </c>
      <c r="F39" s="19">
        <f>IF($C$11&gt;=6,E39/((1+$C$12/100)^6),"")</f>
        <v>372772.66696082207</v>
      </c>
    </row>
    <row r="40" spans="2:6" ht="19.5" customHeight="1" x14ac:dyDescent="0.2">
      <c r="B40" s="16">
        <f>IF($C$11&gt;=7,7,"")</f>
        <v>7</v>
      </c>
      <c r="C40" s="17">
        <f>IF($C$11&gt;=7,$C$9*12*7,"")</f>
        <v>420000</v>
      </c>
      <c r="D40" s="17">
        <f>IF($C$11&gt;=7,E40-C40,"")</f>
        <v>239894.98574038525</v>
      </c>
      <c r="E40" s="17">
        <f>IF($C$11&gt;=7,$C$9*(((1+$C$10/100/12)^(7*12)-1)/($C$10/100/12))*(1+$C$10/100/12),"")</f>
        <v>659894.98574038525</v>
      </c>
      <c r="F40" s="17">
        <f>IF($C$11&gt;=7,E40/((1+$C$12/100)^7),"")</f>
        <v>438867.85451035318</v>
      </c>
    </row>
    <row r="41" spans="2:6" ht="19.5" customHeight="1" x14ac:dyDescent="0.2">
      <c r="B41" s="18">
        <f>IF($C$11&gt;=8,8,"")</f>
        <v>8</v>
      </c>
      <c r="C41" s="19">
        <f>IF($C$11&gt;=8,$C$9*12*8,"")</f>
        <v>480000</v>
      </c>
      <c r="D41" s="19">
        <f>IF($C$11&gt;=8,E41-C41,"")</f>
        <v>327632.82740749011</v>
      </c>
      <c r="E41" s="19">
        <f>IF($C$11&gt;=8,$C$9*(((1+$C$10/100/12)^(8*12)-1)/($C$10/100/12))*(1+$C$10/100/12),"")</f>
        <v>807632.82740749011</v>
      </c>
      <c r="F41" s="19">
        <f>IF($C$11&gt;=8,E41/((1+$C$12/100)^8),"")</f>
        <v>506718.82741723745</v>
      </c>
    </row>
    <row r="42" spans="2:6" ht="19.5" customHeight="1" x14ac:dyDescent="0.2">
      <c r="B42" s="16">
        <f>IF($C$11&gt;=9,9,"")</f>
        <v>9</v>
      </c>
      <c r="C42" s="17">
        <f>IF($C$11&gt;=9,$C$9*12*9,"")</f>
        <v>540000</v>
      </c>
      <c r="D42" s="17">
        <f>IF($C$11&gt;=9,E42-C42,"")</f>
        <v>434107.5252956578</v>
      </c>
      <c r="E42" s="17">
        <f>IF($C$11&gt;=9,$C$9*(((1+$C$10/100/12)^(9*12)-1)/($C$10/100/12))*(1+$C$10/100/12),"")</f>
        <v>974107.5252956578</v>
      </c>
      <c r="F42" s="17">
        <f>IF($C$11&gt;=9,E42/((1+$C$12/100)^9),"")</f>
        <v>576572.74753553479</v>
      </c>
    </row>
    <row r="43" spans="2:6" ht="19.5" customHeight="1" x14ac:dyDescent="0.2">
      <c r="B43" s="18">
        <f>IF($C$11&gt;=10,10,"")</f>
        <v>10</v>
      </c>
      <c r="C43" s="19">
        <f>IF($C$11&gt;=10,$C$9*12*10,"")</f>
        <v>600000</v>
      </c>
      <c r="D43" s="19">
        <f>IF($C$11&gt;=10,E43-C43,"")</f>
        <v>561695.38175970339</v>
      </c>
      <c r="E43" s="19">
        <f>IF($C$11&gt;=10,$C$9*(((1+$C$10/100/12)^(10*12)-1)/($C$10/100/12))*(1+$C$10/100/12),"")</f>
        <v>1161695.3817597034</v>
      </c>
      <c r="F43" s="19">
        <f>IF($C$11&gt;=10,E43/((1+$C$12/100)^10),"")</f>
        <v>648684.63354103232</v>
      </c>
    </row>
    <row r="44" spans="2:6" ht="19.5" customHeight="1" x14ac:dyDescent="0.2">
      <c r="B44" s="16" t="str">
        <f>IF($C$11&gt;=11,11,"")</f>
        <v/>
      </c>
      <c r="C44" s="17" t="str">
        <f>IF($C$11&gt;=11,$C$9*12*11,"")</f>
        <v/>
      </c>
      <c r="D44" s="17" t="str">
        <f>IF($C$11&gt;=11,E44-C44,"")</f>
        <v/>
      </c>
      <c r="E44" s="17" t="str">
        <f>IF($C$11&gt;=11,$C$9*(((1+$C$10/100/12)^(11*12)-1)/($C$10/100/12))*(1+$C$10/100/12),"")</f>
        <v/>
      </c>
      <c r="F44" s="17" t="str">
        <f>IF($C$11&gt;=11,E44/((1+$C$12/100)^11),"")</f>
        <v/>
      </c>
    </row>
    <row r="45" spans="2:6" ht="19.5" customHeight="1" x14ac:dyDescent="0.2">
      <c r="B45" s="18" t="str">
        <f>IF($C$11&gt;=12,12,"")</f>
        <v/>
      </c>
      <c r="C45" s="19" t="str">
        <f>IF($C$11&gt;=12,$C$9*12*12,"")</f>
        <v/>
      </c>
      <c r="D45" s="19" t="str">
        <f>IF($C$11&gt;=12,E45-C45,"")</f>
        <v/>
      </c>
      <c r="E45" s="19" t="str">
        <f>IF($C$11&gt;=12,$C$9*(((1+$C$10/100/12)^(12*12)-1)/($C$10/100/12))*(1+$C$10/100/12),"")</f>
        <v/>
      </c>
      <c r="F45" s="19" t="str">
        <f>IF($C$11&gt;=12,E45/((1+$C$12/100)^12),"")</f>
        <v/>
      </c>
    </row>
    <row r="46" spans="2:6" ht="19.5" customHeight="1" x14ac:dyDescent="0.2">
      <c r="B46" s="16" t="str">
        <f>IF($C$11&gt;=13,13,"")</f>
        <v/>
      </c>
      <c r="C46" s="17" t="str">
        <f>IF($C$11&gt;=13,$C$9*12*13,"")</f>
        <v/>
      </c>
      <c r="D46" s="17" t="str">
        <f>IF($C$11&gt;=13,E46-C46,"")</f>
        <v/>
      </c>
      <c r="E46" s="17" t="str">
        <f>IF($C$11&gt;=13,$C$9*(((1+$C$10/100/12)^(13*12)-1)/($C$10/100/12))*(1+$C$10/100/12),"")</f>
        <v/>
      </c>
      <c r="F46" s="17" t="str">
        <f>IF($C$11&gt;=13,E46/((1+$C$12/100)^13),"")</f>
        <v/>
      </c>
    </row>
    <row r="47" spans="2:6" ht="19.5" customHeight="1" x14ac:dyDescent="0.2">
      <c r="B47" s="18" t="str">
        <f>IF($C$11&gt;=14,14,"")</f>
        <v/>
      </c>
      <c r="C47" s="19" t="str">
        <f>IF($C$11&gt;=14,$C$9*12*14,"")</f>
        <v/>
      </c>
      <c r="D47" s="19" t="str">
        <f>IF($C$11&gt;=14,E47-C47,"")</f>
        <v/>
      </c>
      <c r="E47" s="19" t="str">
        <f>IF($C$11&gt;=14,$C$9*(((1+$C$10/100/12)^(14*12)-1)/($C$10/100/12))*(1+$C$10/100/12),"")</f>
        <v/>
      </c>
      <c r="F47" s="19" t="str">
        <f>IF($C$11&gt;=14,E47/((1+$C$12/100)^14),"")</f>
        <v/>
      </c>
    </row>
    <row r="48" spans="2:6" ht="19.5" customHeight="1" x14ac:dyDescent="0.2">
      <c r="B48" s="16" t="str">
        <f>IF($C$11&gt;=15,15,"")</f>
        <v/>
      </c>
      <c r="C48" s="17" t="str">
        <f>IF($C$11&gt;=15,$C$9*12*15,"")</f>
        <v/>
      </c>
      <c r="D48" s="17" t="str">
        <f>IF($C$11&gt;=15,E48-C48,"")</f>
        <v/>
      </c>
      <c r="E48" s="17" t="str">
        <f>IF($C$11&gt;=15,$C$9*(((1+$C$10/100/12)^(15*12)-1)/($C$10/100/12))*(1+$C$10/100/12),"")</f>
        <v/>
      </c>
      <c r="F48" s="17" t="str">
        <f>IF($C$11&gt;=15,E48/((1+$C$12/100)^15),"")</f>
        <v/>
      </c>
    </row>
    <row r="49" spans="2:6" ht="19.5" customHeight="1" x14ac:dyDescent="0.2">
      <c r="B49" s="18" t="str">
        <f>IF($C$11&gt;=16,16,"")</f>
        <v/>
      </c>
      <c r="C49" s="19" t="str">
        <f>IF($C$11&gt;=16,$C$9*12*16,"")</f>
        <v/>
      </c>
      <c r="D49" s="19" t="str">
        <f>IF($C$11&gt;=16,E49-C49,"")</f>
        <v/>
      </c>
      <c r="E49" s="19" t="str">
        <f>IF($C$11&gt;=16,$C$9*(((1+$C$10/100/12)^(16*12)-1)/($C$10/100/12))*(1+$C$10/100/12),"")</f>
        <v/>
      </c>
      <c r="F49" s="19" t="str">
        <f>IF($C$11&gt;=16,E49/((1+$C$12/100)^16),"")</f>
        <v/>
      </c>
    </row>
    <row r="50" spans="2:6" ht="19.5" customHeight="1" x14ac:dyDescent="0.2">
      <c r="B50" s="16" t="str">
        <f>IF($C$11&gt;=17,17,"")</f>
        <v/>
      </c>
      <c r="C50" s="17" t="str">
        <f>IF($C$11&gt;=17,$C$9*12*17,"")</f>
        <v/>
      </c>
      <c r="D50" s="17" t="str">
        <f>IF($C$11&gt;=17,E50-C50,"")</f>
        <v/>
      </c>
      <c r="E50" s="17" t="str">
        <f>IF($C$11&gt;=17,$C$9*(((1+$C$10/100/12)^(17*12)-1)/($C$10/100/12))*(1+$C$10/100/12),"")</f>
        <v/>
      </c>
      <c r="F50" s="17" t="str">
        <f>IF($C$11&gt;=17,E50/((1+$C$12/100)^17),"")</f>
        <v/>
      </c>
    </row>
    <row r="51" spans="2:6" ht="19.5" customHeight="1" x14ac:dyDescent="0.2">
      <c r="B51" s="18" t="str">
        <f>IF($C$11&gt;=18,18,"")</f>
        <v/>
      </c>
      <c r="C51" s="19" t="str">
        <f>IF($C$11&gt;=18,$C$9*12*18,"")</f>
        <v/>
      </c>
      <c r="D51" s="19" t="str">
        <f>IF($C$11&gt;=18,E51-C51,"")</f>
        <v/>
      </c>
      <c r="E51" s="19" t="str">
        <f>IF($C$11&gt;=18,$C$9*(((1+$C$10/100/12)^(18*12)-1)/($C$10/100/12))*(1+$C$10/100/12),"")</f>
        <v/>
      </c>
      <c r="F51" s="19" t="str">
        <f>IF($C$11&gt;=18,E51/((1+$C$12/100)^18),"")</f>
        <v/>
      </c>
    </row>
    <row r="52" spans="2:6" ht="19.5" customHeight="1" x14ac:dyDescent="0.2">
      <c r="B52" s="16" t="str">
        <f>IF($C$11&gt;=19,19,"")</f>
        <v/>
      </c>
      <c r="C52" s="17" t="str">
        <f>IF($C$11&gt;=19,$C$9*12*19,"")</f>
        <v/>
      </c>
      <c r="D52" s="17" t="str">
        <f>IF($C$11&gt;=19,E52-C52,"")</f>
        <v/>
      </c>
      <c r="E52" s="17" t="str">
        <f>IF($C$11&gt;=19,$C$9*(((1+$C$10/100/12)^(19*12)-1)/($C$10/100/12))*(1+$C$10/100/12),"")</f>
        <v/>
      </c>
      <c r="F52" s="17" t="str">
        <f>IF($C$11&gt;=19,E52/((1+$C$12/100)^19),"")</f>
        <v/>
      </c>
    </row>
    <row r="53" spans="2:6" ht="19.5" customHeight="1" x14ac:dyDescent="0.2">
      <c r="B53" s="18" t="str">
        <f>IF($C$11&gt;=20,20,"")</f>
        <v/>
      </c>
      <c r="C53" s="19" t="str">
        <f>IF($C$11&gt;=20,$C$9*12*20,"")</f>
        <v/>
      </c>
      <c r="D53" s="19" t="str">
        <f>IF($C$11&gt;=20,E53-C53,"")</f>
        <v/>
      </c>
      <c r="E53" s="19" t="str">
        <f>IF($C$11&gt;=20,$C$9*(((1+$C$10/100/12)^(20*12)-1)/($C$10/100/12))*(1+$C$10/100/12),"")</f>
        <v/>
      </c>
      <c r="F53" s="19" t="str">
        <f>IF($C$11&gt;=20,E53/((1+$C$12/100)^20),"")</f>
        <v/>
      </c>
    </row>
    <row r="54" spans="2:6" ht="19.5" customHeight="1" x14ac:dyDescent="0.2">
      <c r="B54" s="16" t="str">
        <f>IF($C$11&gt;=21,21,"")</f>
        <v/>
      </c>
      <c r="C54" s="17" t="str">
        <f>IF($C$11&gt;=21,$C$9*12*21,"")</f>
        <v/>
      </c>
      <c r="D54" s="17" t="str">
        <f>IF($C$11&gt;=21,E54-C54,"")</f>
        <v/>
      </c>
      <c r="E54" s="17" t="str">
        <f>IF($C$11&gt;=21,$C$9*(((1+$C$10/100/12)^(21*12)-1)/($C$10/100/12))*(1+$C$10/100/12),"")</f>
        <v/>
      </c>
      <c r="F54" s="17" t="str">
        <f>IF($C$11&gt;=21,E54/((1+$C$12/100)^21),"")</f>
        <v/>
      </c>
    </row>
    <row r="55" spans="2:6" ht="19.5" customHeight="1" x14ac:dyDescent="0.2">
      <c r="B55" s="18" t="str">
        <f>IF($C$11&gt;=22,22,"")</f>
        <v/>
      </c>
      <c r="C55" s="19" t="str">
        <f>IF($C$11&gt;=22,$C$9*12*22,"")</f>
        <v/>
      </c>
      <c r="D55" s="19" t="str">
        <f>IF($C$11&gt;=22,E55-C55,"")</f>
        <v/>
      </c>
      <c r="E55" s="19" t="str">
        <f>IF($C$11&gt;=22,$C$9*(((1+$C$10/100/12)^(22*12)-1)/($C$10/100/12))*(1+$C$10/100/12),"")</f>
        <v/>
      </c>
      <c r="F55" s="19" t="str">
        <f>IF($C$11&gt;=22,E55/((1+$C$12/100)^22),"")</f>
        <v/>
      </c>
    </row>
    <row r="56" spans="2:6" ht="19.5" customHeight="1" x14ac:dyDescent="0.2">
      <c r="B56" s="16" t="str">
        <f>IF($C$11&gt;=23,23,"")</f>
        <v/>
      </c>
      <c r="C56" s="17" t="str">
        <f>IF($C$11&gt;=23,$C$9*12*23,"")</f>
        <v/>
      </c>
      <c r="D56" s="17" t="str">
        <f>IF($C$11&gt;=23,E56-C56,"")</f>
        <v/>
      </c>
      <c r="E56" s="17" t="str">
        <f>IF($C$11&gt;=23,$C$9*(((1+$C$10/100/12)^(23*12)-1)/($C$10/100/12))*(1+$C$10/100/12),"")</f>
        <v/>
      </c>
      <c r="F56" s="17" t="str">
        <f>IF($C$11&gt;=23,E56/((1+$C$12/100)^23),"")</f>
        <v/>
      </c>
    </row>
    <row r="57" spans="2:6" ht="19.5" customHeight="1" x14ac:dyDescent="0.2">
      <c r="B57" s="18" t="str">
        <f>IF($C$11&gt;=24,24,"")</f>
        <v/>
      </c>
      <c r="C57" s="19" t="str">
        <f>IF($C$11&gt;=24,$C$9*12*24,"")</f>
        <v/>
      </c>
      <c r="D57" s="19" t="str">
        <f>IF($C$11&gt;=24,E57-C57,"")</f>
        <v/>
      </c>
      <c r="E57" s="19" t="str">
        <f>IF($C$11&gt;=24,$C$9*(((1+$C$10/100/12)^(24*12)-1)/($C$10/100/12))*(1+$C$10/100/12),"")</f>
        <v/>
      </c>
      <c r="F57" s="19" t="str">
        <f>IF($C$11&gt;=24,E57/((1+$C$12/100)^24),"")</f>
        <v/>
      </c>
    </row>
    <row r="58" spans="2:6" ht="19.5" customHeight="1" x14ac:dyDescent="0.2">
      <c r="B58" s="16" t="str">
        <f>IF($C$11&gt;=25,25,"")</f>
        <v/>
      </c>
      <c r="C58" s="17" t="str">
        <f>IF($C$11&gt;=25,$C$9*12*25,"")</f>
        <v/>
      </c>
      <c r="D58" s="17" t="str">
        <f>IF($C$11&gt;=25,E58-C58,"")</f>
        <v/>
      </c>
      <c r="E58" s="17" t="str">
        <f>IF($C$11&gt;=25,$C$9*(((1+$C$10/100/12)^(25*12)-1)/($C$10/100/12))*(1+$C$10/100/12),"")</f>
        <v/>
      </c>
      <c r="F58" s="17" t="str">
        <f>IF($C$11&gt;=25,E58/((1+$C$12/100)^25),"")</f>
        <v/>
      </c>
    </row>
    <row r="59" spans="2:6" ht="19.5" customHeight="1" x14ac:dyDescent="0.2">
      <c r="B59" s="18" t="str">
        <f>IF($C$11&gt;=26,26,"")</f>
        <v/>
      </c>
      <c r="C59" s="19" t="str">
        <f>IF($C$11&gt;=26,$C$9*12*26,"")</f>
        <v/>
      </c>
      <c r="D59" s="19" t="str">
        <f>IF($C$11&gt;=26,E59-C59,"")</f>
        <v/>
      </c>
      <c r="E59" s="19" t="str">
        <f>IF($C$11&gt;=26,$C$9*(((1+$C$10/100/12)^(26*12)-1)/($C$10/100/12))*(1+$C$10/100/12),"")</f>
        <v/>
      </c>
      <c r="F59" s="19" t="str">
        <f>IF($C$11&gt;=26,E59/((1+$C$12/100)^26),"")</f>
        <v/>
      </c>
    </row>
    <row r="60" spans="2:6" ht="19.5" customHeight="1" x14ac:dyDescent="0.2">
      <c r="B60" s="16" t="str">
        <f>IF($C$11&gt;=27,27,"")</f>
        <v/>
      </c>
      <c r="C60" s="17" t="str">
        <f>IF($C$11&gt;=27,$C$9*12*27,"")</f>
        <v/>
      </c>
      <c r="D60" s="17" t="str">
        <f>IF($C$11&gt;=27,E60-C60,"")</f>
        <v/>
      </c>
      <c r="E60" s="17" t="str">
        <f>IF($C$11&gt;=27,$C$9*(((1+$C$10/100/12)^(27*12)-1)/($C$10/100/12))*(1+$C$10/100/12),"")</f>
        <v/>
      </c>
      <c r="F60" s="17" t="str">
        <f>IF($C$11&gt;=27,E60/((1+$C$12/100)^27),"")</f>
        <v/>
      </c>
    </row>
    <row r="61" spans="2:6" ht="19.5" customHeight="1" x14ac:dyDescent="0.2">
      <c r="B61" s="18" t="str">
        <f>IF($C$11&gt;=28,28,"")</f>
        <v/>
      </c>
      <c r="C61" s="19" t="str">
        <f>IF($C$11&gt;=28,$C$9*12*28,"")</f>
        <v/>
      </c>
      <c r="D61" s="19" t="str">
        <f>IF($C$11&gt;=28,E61-C61,"")</f>
        <v/>
      </c>
      <c r="E61" s="19" t="str">
        <f>IF($C$11&gt;=28,$C$9*(((1+$C$10/100/12)^(28*12)-1)/($C$10/100/12))*(1+$C$10/100/12),"")</f>
        <v/>
      </c>
      <c r="F61" s="19" t="str">
        <f>IF($C$11&gt;=28,E61/((1+$C$12/100)^28),"")</f>
        <v/>
      </c>
    </row>
    <row r="62" spans="2:6" ht="19.5" customHeight="1" x14ac:dyDescent="0.2">
      <c r="B62" s="16" t="str">
        <f>IF($C$11&gt;=29,29,"")</f>
        <v/>
      </c>
      <c r="C62" s="17" t="str">
        <f>IF($C$11&gt;=29,$C$9*12*29,"")</f>
        <v/>
      </c>
      <c r="D62" s="17" t="str">
        <f>IF($C$11&gt;=29,E62-C62,"")</f>
        <v/>
      </c>
      <c r="E62" s="17" t="str">
        <f>IF($C$11&gt;=29,$C$9*(((1+$C$10/100/12)^(29*12)-1)/($C$10/100/12))*(1+$C$10/100/12),"")</f>
        <v/>
      </c>
      <c r="F62" s="17" t="str">
        <f>IF($C$11&gt;=29,E62/((1+$C$12/100)^29),"")</f>
        <v/>
      </c>
    </row>
    <row r="63" spans="2:6" ht="19.5" customHeight="1" x14ac:dyDescent="0.2">
      <c r="B63" s="18" t="str">
        <f>IF($C$11&gt;=30,30,"")</f>
        <v/>
      </c>
      <c r="C63" s="19" t="str">
        <f>IF($C$11&gt;=30,$C$9*12*30,"")</f>
        <v/>
      </c>
      <c r="D63" s="19" t="str">
        <f>IF($C$11&gt;=30,E63-C63,"")</f>
        <v/>
      </c>
      <c r="E63" s="19" t="str">
        <f>IF($C$11&gt;=30,$C$9*(((1+$C$10/100/12)^(30*12)-1)/($C$10/100/12))*(1+$C$10/100/12),"")</f>
        <v/>
      </c>
      <c r="F63" s="19" t="str">
        <f>IF($C$11&gt;=30,E63/((1+$C$12/100)^30),"")</f>
        <v/>
      </c>
    </row>
    <row r="64" spans="2:6" ht="19.5" customHeight="1" x14ac:dyDescent="0.2">
      <c r="B64" s="16" t="str">
        <f>IF($C$11&gt;=31,31,"")</f>
        <v/>
      </c>
      <c r="C64" s="17" t="str">
        <f>IF($C$11&gt;=31,$C$9*12*31,"")</f>
        <v/>
      </c>
      <c r="D64" s="17" t="str">
        <f>IF($C$11&gt;=31,E64-C64,"")</f>
        <v/>
      </c>
      <c r="E64" s="17" t="str">
        <f>IF($C$11&gt;=31,$C$9*(((1+$C$10/100/12)^(31*12)-1)/($C$10/100/12))*(1+$C$10/100/12),"")</f>
        <v/>
      </c>
      <c r="F64" s="17" t="str">
        <f>IF($C$11&gt;=31,E64/((1+$C$12/100)^31),"")</f>
        <v/>
      </c>
    </row>
    <row r="65" spans="1:12" ht="19.5" customHeight="1" x14ac:dyDescent="0.2">
      <c r="B65" s="18" t="str">
        <f>IF($C$11&gt;=32,32,"")</f>
        <v/>
      </c>
      <c r="C65" s="19" t="str">
        <f>IF($C$11&gt;=32,$C$9*12*32,"")</f>
        <v/>
      </c>
      <c r="D65" s="19" t="str">
        <f>IF($C$11&gt;=32,E65-C65,"")</f>
        <v/>
      </c>
      <c r="E65" s="19" t="str">
        <f>IF($C$11&gt;=32,$C$9*(((1+$C$10/100/12)^(32*12)-1)/($C$10/100/12))*(1+$C$10/100/12),"")</f>
        <v/>
      </c>
      <c r="F65" s="19" t="str">
        <f>IF($C$11&gt;=32,E65/((1+$C$12/100)^32),"")</f>
        <v/>
      </c>
    </row>
    <row r="66" spans="1:12" ht="19.5" customHeight="1" x14ac:dyDescent="0.2">
      <c r="B66" s="16" t="str">
        <f>IF($C$11&gt;=33,33,"")</f>
        <v/>
      </c>
      <c r="C66" s="17" t="str">
        <f>IF($C$11&gt;=33,$C$9*12*33,"")</f>
        <v/>
      </c>
      <c r="D66" s="17" t="str">
        <f>IF($C$11&gt;=33,E66-C66,"")</f>
        <v/>
      </c>
      <c r="E66" s="17" t="str">
        <f>IF($C$11&gt;=33,$C$9*(((1+$C$10/100/12)^(33*12)-1)/($C$10/100/12))*(1+$C$10/100/12),"")</f>
        <v/>
      </c>
      <c r="F66" s="17" t="str">
        <f>IF($C$11&gt;=33,E66/((1+$C$12/100)^33),"")</f>
        <v/>
      </c>
    </row>
    <row r="67" spans="1:12" ht="19.5" customHeight="1" x14ac:dyDescent="0.2">
      <c r="B67" s="18" t="str">
        <f>IF($C$11&gt;=34,34,"")</f>
        <v/>
      </c>
      <c r="C67" s="19" t="str">
        <f>IF($C$11&gt;=34,$C$9*12*34,"")</f>
        <v/>
      </c>
      <c r="D67" s="19" t="str">
        <f>IF($C$11&gt;=34,E67-C67,"")</f>
        <v/>
      </c>
      <c r="E67" s="19" t="str">
        <f>IF($C$11&gt;=34,$C$9*(((1+$C$10/100/12)^(34*12)-1)/($C$10/100/12))*(1+$C$10/100/12),"")</f>
        <v/>
      </c>
      <c r="F67" s="19" t="str">
        <f>IF($C$11&gt;=34,E67/((1+$C$12/100)^34),"")</f>
        <v/>
      </c>
    </row>
    <row r="68" spans="1:12" ht="19.5" customHeight="1" x14ac:dyDescent="0.2">
      <c r="B68" s="16" t="str">
        <f>IF($C$11&gt;=35,35,"")</f>
        <v/>
      </c>
      <c r="C68" s="17" t="str">
        <f>IF($C$11&gt;=35,$C$9*12*35,"")</f>
        <v/>
      </c>
      <c r="D68" s="17" t="str">
        <f>IF($C$11&gt;=35,E68-C68,"")</f>
        <v/>
      </c>
      <c r="E68" s="17" t="str">
        <f>IF($C$11&gt;=35,$C$9*(((1+$C$10/100/12)^(35*12)-1)/($C$10/100/12))*(1+$C$10/100/12),"")</f>
        <v/>
      </c>
      <c r="F68" s="17" t="str">
        <f>IF($C$11&gt;=35,E68/((1+$C$12/100)^35),"")</f>
        <v/>
      </c>
    </row>
    <row r="69" spans="1:12" ht="19.5" customHeight="1" x14ac:dyDescent="0.2">
      <c r="B69" s="18" t="str">
        <f>IF($C$11&gt;=36,36,"")</f>
        <v/>
      </c>
      <c r="C69" s="19" t="str">
        <f>IF($C$11&gt;=36,$C$9*12*36,"")</f>
        <v/>
      </c>
      <c r="D69" s="19" t="str">
        <f>IF($C$11&gt;=36,E69-C69,"")</f>
        <v/>
      </c>
      <c r="E69" s="19" t="str">
        <f>IF($C$11&gt;=36,$C$9*(((1+$C$10/100/12)^(36*12)-1)/($C$10/100/12))*(1+$C$10/100/12),"")</f>
        <v/>
      </c>
      <c r="F69" s="19" t="str">
        <f>IF($C$11&gt;=36,E69/((1+$C$12/100)^36),"")</f>
        <v/>
      </c>
    </row>
    <row r="70" spans="1:12" ht="19.5" customHeight="1" x14ac:dyDescent="0.2">
      <c r="B70" s="16" t="str">
        <f>IF($C$11&gt;=37,37,"")</f>
        <v/>
      </c>
      <c r="C70" s="17" t="str">
        <f>IF($C$11&gt;=37,$C$9*12*37,"")</f>
        <v/>
      </c>
      <c r="D70" s="17" t="str">
        <f>IF($C$11&gt;=37,E70-C70,"")</f>
        <v/>
      </c>
      <c r="E70" s="17" t="str">
        <f>IF($C$11&gt;=37,$C$9*(((1+$C$10/100/12)^(37*12)-1)/($C$10/100/12))*(1+$C$10/100/12),"")</f>
        <v/>
      </c>
      <c r="F70" s="17" t="str">
        <f>IF($C$11&gt;=37,E70/((1+$C$12/100)^37),"")</f>
        <v/>
      </c>
    </row>
    <row r="71" spans="1:12" ht="19.5" customHeight="1" x14ac:dyDescent="0.2">
      <c r="B71" s="18" t="str">
        <f>IF($C$11&gt;=38,38,"")</f>
        <v/>
      </c>
      <c r="C71" s="19" t="str">
        <f>IF($C$11&gt;=38,$C$9*12*38,"")</f>
        <v/>
      </c>
      <c r="D71" s="19" t="str">
        <f>IF($C$11&gt;=38,E71-C71,"")</f>
        <v/>
      </c>
      <c r="E71" s="19" t="str">
        <f>IF($C$11&gt;=38,$C$9*(((1+$C$10/100/12)^(38*12)-1)/($C$10/100/12))*(1+$C$10/100/12),"")</f>
        <v/>
      </c>
      <c r="F71" s="19" t="str">
        <f>IF($C$11&gt;=38,E71/((1+$C$12/100)^38),"")</f>
        <v/>
      </c>
    </row>
    <row r="72" spans="1:12" ht="19.5" customHeight="1" x14ac:dyDescent="0.2">
      <c r="B72" s="16" t="str">
        <f>IF($C$11&gt;=39,39,"")</f>
        <v/>
      </c>
      <c r="C72" s="17" t="str">
        <f>IF($C$11&gt;=39,$C$9*12*39,"")</f>
        <v/>
      </c>
      <c r="D72" s="17" t="str">
        <f>IF($C$11&gt;=39,E72-C72,"")</f>
        <v/>
      </c>
      <c r="E72" s="17" t="str">
        <f>IF($C$11&gt;=39,$C$9*(((1+$C$10/100/12)^(39*12)-1)/($C$10/100/12))*(1+$C$10/100/12),"")</f>
        <v/>
      </c>
      <c r="F72" s="17" t="str">
        <f>IF($C$11&gt;=39,E72/((1+$C$12/100)^39),"")</f>
        <v/>
      </c>
    </row>
    <row r="73" spans="1:12" ht="19.5" customHeight="1" x14ac:dyDescent="0.2">
      <c r="B73" s="18" t="str">
        <f>IF($C$11&gt;=40,40,"")</f>
        <v/>
      </c>
      <c r="C73" s="19" t="str">
        <f>IF($C$11&gt;=40,$C$9*12*40,"")</f>
        <v/>
      </c>
      <c r="D73" s="19" t="str">
        <f>IF($C$11&gt;=40,E73-C73,"")</f>
        <v/>
      </c>
      <c r="E73" s="19" t="str">
        <f>IF($C$11&gt;=40,$C$9*(((1+$C$10/100/12)^(40*12)-1)/($C$10/100/12))*(1+$C$10/100/12),"")</f>
        <v/>
      </c>
      <c r="F73" s="19" t="str">
        <f>IF($C$11&gt;=40,E73/((1+$C$12/100)^40),"")</f>
        <v/>
      </c>
    </row>
    <row r="74" spans="1:12" ht="7.5" customHeight="1" x14ac:dyDescent="0.2"/>
    <row r="75" spans="1:12" ht="21.75" customHeight="1" x14ac:dyDescent="0.2">
      <c r="A75" s="6"/>
      <c r="B75" s="1" t="s">
        <v>23</v>
      </c>
      <c r="C75" s="1"/>
      <c r="D75" s="1"/>
      <c r="E75" s="1"/>
      <c r="F75" s="1"/>
      <c r="G75" s="1"/>
      <c r="H75" s="1"/>
      <c r="I75" s="1"/>
      <c r="J75" s="1"/>
      <c r="K75" s="1"/>
      <c r="L75" s="6"/>
    </row>
  </sheetData>
  <mergeCells count="9">
    <mergeCell ref="B14:F14"/>
    <mergeCell ref="H14:K14"/>
    <mergeCell ref="B32:F32"/>
    <mergeCell ref="B75:K75"/>
    <mergeCell ref="B3:K3"/>
    <mergeCell ref="B5:K5"/>
    <mergeCell ref="B6:K6"/>
    <mergeCell ref="B8:C8"/>
    <mergeCell ref="E8:F8"/>
  </mergeCells>
  <printOptions horizontalCentered="1"/>
  <pageMargins left="0.75" right="0.75" top="1" bottom="1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426"/>
  </sheetPr>
  <dimension ref="A1:O75"/>
  <sheetViews>
    <sheetView showGridLines="0" zoomScaleNormal="100" workbookViewId="0"/>
  </sheetViews>
  <sheetFormatPr baseColWidth="10" defaultColWidth="8.6640625" defaultRowHeight="15" x14ac:dyDescent="0.2"/>
  <cols>
    <col min="1" max="1" width="4" customWidth="1"/>
    <col min="2" max="2" width="32" customWidth="1"/>
    <col min="3" max="3" width="20" customWidth="1"/>
    <col min="4" max="4" width="5" customWidth="1"/>
    <col min="5" max="5" width="32" customWidth="1"/>
    <col min="6" max="6" width="22" customWidth="1"/>
    <col min="7" max="7" width="4" customWidth="1"/>
    <col min="8" max="10" width="18" customWidth="1"/>
    <col min="11" max="11" width="22" customWidth="1"/>
    <col min="12" max="12" width="4" customWidth="1"/>
  </cols>
  <sheetData>
    <row r="1" spans="1:15" ht="13.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5" ht="37.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5" ht="21.75" customHeight="1" x14ac:dyDescent="0.2">
      <c r="A3" s="6"/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1:15" ht="12" customHeight="1" x14ac:dyDescent="0.2"/>
    <row r="5" spans="1:15" ht="31.5" customHeight="1" x14ac:dyDescent="0.2">
      <c r="B5" s="4" t="s">
        <v>24</v>
      </c>
      <c r="C5" s="4"/>
      <c r="D5" s="4"/>
      <c r="E5" s="4"/>
      <c r="F5" s="4"/>
      <c r="G5" s="4"/>
      <c r="H5" s="4"/>
      <c r="I5" s="4"/>
      <c r="J5" s="4"/>
      <c r="K5" s="4"/>
    </row>
    <row r="6" spans="1:15" ht="36" customHeight="1" x14ac:dyDescent="0.2">
      <c r="B6" s="3" t="s">
        <v>25</v>
      </c>
      <c r="C6" s="3"/>
      <c r="D6" s="3"/>
      <c r="E6" s="3"/>
      <c r="F6" s="3"/>
      <c r="G6" s="3"/>
      <c r="H6" s="3"/>
      <c r="I6" s="3"/>
      <c r="J6" s="3"/>
      <c r="K6" s="3"/>
    </row>
    <row r="7" spans="1:15" ht="7.5" customHeight="1" x14ac:dyDescent="0.2"/>
    <row r="8" spans="1:15" ht="25.5" customHeight="1" x14ac:dyDescent="0.2">
      <c r="B8" s="2" t="s">
        <v>3</v>
      </c>
      <c r="C8" s="2"/>
      <c r="E8" s="2" t="s">
        <v>4</v>
      </c>
      <c r="F8" s="2"/>
    </row>
    <row r="9" spans="1:15" ht="24" customHeight="1" x14ac:dyDescent="0.2">
      <c r="B9" s="7" t="s">
        <v>26</v>
      </c>
      <c r="C9" s="8">
        <v>100000</v>
      </c>
      <c r="E9" s="7" t="s">
        <v>6</v>
      </c>
      <c r="F9" s="9">
        <f>C9</f>
        <v>100000</v>
      </c>
      <c r="N9" s="10" t="s">
        <v>7</v>
      </c>
      <c r="O9" s="10" t="s">
        <v>8</v>
      </c>
    </row>
    <row r="10" spans="1:15" ht="24" customHeight="1" x14ac:dyDescent="0.2">
      <c r="B10" s="7" t="s">
        <v>9</v>
      </c>
      <c r="C10" s="11">
        <v>12</v>
      </c>
      <c r="E10" s="7" t="s">
        <v>10</v>
      </c>
      <c r="F10" s="9">
        <f>F11-F9</f>
        <v>210584.82083442109</v>
      </c>
      <c r="N10" s="10" t="s">
        <v>11</v>
      </c>
      <c r="O10" s="12">
        <f>F9</f>
        <v>100000</v>
      </c>
    </row>
    <row r="11" spans="1:15" ht="24" customHeight="1" x14ac:dyDescent="0.2">
      <c r="B11" s="7" t="s">
        <v>12</v>
      </c>
      <c r="C11" s="13">
        <v>10</v>
      </c>
      <c r="E11" s="7" t="s">
        <v>13</v>
      </c>
      <c r="F11" s="14">
        <f>C9*(1+C10/100)^C11</f>
        <v>310584.82083442109</v>
      </c>
      <c r="N11" s="10" t="s">
        <v>14</v>
      </c>
      <c r="O11" s="12">
        <f>F10</f>
        <v>210584.82083442109</v>
      </c>
    </row>
    <row r="12" spans="1:15" ht="24" customHeight="1" x14ac:dyDescent="0.2">
      <c r="B12" s="7" t="s">
        <v>15</v>
      </c>
      <c r="C12" s="11">
        <v>6</v>
      </c>
      <c r="E12" s="7" t="s">
        <v>16</v>
      </c>
      <c r="F12" s="9">
        <f>F11/((1+C12/100)^C11)</f>
        <v>173428.94174305841</v>
      </c>
    </row>
    <row r="13" spans="1:15" ht="13.5" customHeight="1" x14ac:dyDescent="0.2"/>
    <row r="14" spans="1:15" ht="25.5" customHeight="1" x14ac:dyDescent="0.2">
      <c r="B14" s="2" t="s">
        <v>17</v>
      </c>
      <c r="C14" s="2"/>
      <c r="D14" s="2"/>
      <c r="E14" s="2"/>
      <c r="F14" s="2"/>
      <c r="H14" s="2" t="s">
        <v>18</v>
      </c>
      <c r="I14" s="2"/>
      <c r="J14" s="2"/>
      <c r="K14" s="2"/>
    </row>
    <row r="15" spans="1:15" ht="18" customHeight="1" x14ac:dyDescent="0.2"/>
    <row r="16" spans="1:15" ht="18" customHeight="1" x14ac:dyDescent="0.2"/>
    <row r="17" spans="2:6" ht="18" customHeight="1" x14ac:dyDescent="0.2"/>
    <row r="18" spans="2:6" ht="18" customHeight="1" x14ac:dyDescent="0.2"/>
    <row r="19" spans="2:6" ht="18" customHeight="1" x14ac:dyDescent="0.2"/>
    <row r="20" spans="2:6" ht="18" customHeight="1" x14ac:dyDescent="0.2"/>
    <row r="21" spans="2:6" ht="18" customHeight="1" x14ac:dyDescent="0.2"/>
    <row r="22" spans="2:6" ht="18" customHeight="1" x14ac:dyDescent="0.2"/>
    <row r="23" spans="2:6" ht="18" customHeight="1" x14ac:dyDescent="0.2"/>
    <row r="24" spans="2:6" ht="18" customHeight="1" x14ac:dyDescent="0.2"/>
    <row r="25" spans="2:6" ht="18" customHeight="1" x14ac:dyDescent="0.2"/>
    <row r="26" spans="2:6" ht="18" customHeight="1" x14ac:dyDescent="0.2"/>
    <row r="27" spans="2:6" ht="18" customHeight="1" x14ac:dyDescent="0.2"/>
    <row r="28" spans="2:6" ht="18" customHeight="1" x14ac:dyDescent="0.2"/>
    <row r="29" spans="2:6" ht="18" customHeight="1" x14ac:dyDescent="0.2"/>
    <row r="30" spans="2:6" ht="18" customHeight="1" x14ac:dyDescent="0.2"/>
    <row r="31" spans="2:6" ht="13.5" customHeight="1" x14ac:dyDescent="0.2"/>
    <row r="32" spans="2:6" ht="25.5" customHeight="1" x14ac:dyDescent="0.2">
      <c r="B32" s="2" t="s">
        <v>19</v>
      </c>
      <c r="C32" s="2"/>
      <c r="D32" s="2"/>
      <c r="E32" s="2"/>
      <c r="F32" s="2"/>
    </row>
    <row r="33" spans="2:6" ht="30" customHeight="1" x14ac:dyDescent="0.2">
      <c r="B33" s="15" t="s">
        <v>20</v>
      </c>
      <c r="C33" s="15" t="s">
        <v>11</v>
      </c>
      <c r="D33" s="15" t="s">
        <v>14</v>
      </c>
      <c r="E33" s="15" t="s">
        <v>21</v>
      </c>
      <c r="F33" s="15" t="s">
        <v>22</v>
      </c>
    </row>
    <row r="34" spans="2:6" ht="19.5" customHeight="1" x14ac:dyDescent="0.2">
      <c r="B34" s="16">
        <f>IF($C$11&gt;=1,1,"")</f>
        <v>1</v>
      </c>
      <c r="C34" s="17">
        <f>IF($C$11&gt;=1,$C$9,"")</f>
        <v>100000</v>
      </c>
      <c r="D34" s="17">
        <f>IF($C$11&gt;=1,E34-C34,"")</f>
        <v>12000.000000000015</v>
      </c>
      <c r="E34" s="17">
        <f>IF($C$11&gt;=1,$C$9*(1+$C$10/100)^1,"")</f>
        <v>112000.00000000001</v>
      </c>
      <c r="F34" s="17">
        <f>IF($C$11&gt;=1,E34/((1+$C$12/100)^1),"")</f>
        <v>105660.37735849057</v>
      </c>
    </row>
    <row r="35" spans="2:6" ht="19.5" customHeight="1" x14ac:dyDescent="0.2">
      <c r="B35" s="18">
        <f>IF($C$11&gt;=2,2,"")</f>
        <v>2</v>
      </c>
      <c r="C35" s="19">
        <f>IF($C$11&gt;=2,$C$9,"")</f>
        <v>100000</v>
      </c>
      <c r="D35" s="19">
        <f>IF($C$11&gt;=2,E35-C35,"")</f>
        <v>25440.000000000015</v>
      </c>
      <c r="E35" s="19">
        <f>IF($C$11&gt;=2,$C$9*(1+$C$10/100)^2,"")</f>
        <v>125440.00000000001</v>
      </c>
      <c r="F35" s="19">
        <f>IF($C$11&gt;=2,E35/((1+$C$12/100)^2),"")</f>
        <v>111641.15343538625</v>
      </c>
    </row>
    <row r="36" spans="2:6" ht="19.5" customHeight="1" x14ac:dyDescent="0.2">
      <c r="B36" s="16">
        <f>IF($C$11&gt;=3,3,"")</f>
        <v>3</v>
      </c>
      <c r="C36" s="17">
        <f>IF($C$11&gt;=3,$C$9,"")</f>
        <v>100000</v>
      </c>
      <c r="D36" s="17">
        <f>IF($C$11&gt;=3,E36-C36,"")</f>
        <v>40492.800000000047</v>
      </c>
      <c r="E36" s="17">
        <f>IF($C$11&gt;=3,$C$9*(1+$C$10/100)^3,"")</f>
        <v>140492.80000000005</v>
      </c>
      <c r="F36" s="17">
        <f>IF($C$11&gt;=3,E36/((1+$C$12/100)^3),"")</f>
        <v>117960.46400720059</v>
      </c>
    </row>
    <row r="37" spans="2:6" ht="19.5" customHeight="1" x14ac:dyDescent="0.2">
      <c r="B37" s="18">
        <f>IF($C$11&gt;=4,4,"")</f>
        <v>4</v>
      </c>
      <c r="C37" s="19">
        <f>IF($C$11&gt;=4,$C$9,"")</f>
        <v>100000</v>
      </c>
      <c r="D37" s="19">
        <f>IF($C$11&gt;=4,E37-C37,"")</f>
        <v>57351.936000000045</v>
      </c>
      <c r="E37" s="19">
        <f>IF($C$11&gt;=4,$C$9*(1+$C$10/100)^4,"")</f>
        <v>157351.93600000005</v>
      </c>
      <c r="F37" s="19">
        <f>IF($C$11&gt;=4,E37/((1+$C$12/100)^4),"")</f>
        <v>124637.47140383457</v>
      </c>
    </row>
    <row r="38" spans="2:6" ht="19.5" customHeight="1" x14ac:dyDescent="0.2">
      <c r="B38" s="16">
        <f>IF($C$11&gt;=5,5,"")</f>
        <v>5</v>
      </c>
      <c r="C38" s="17">
        <f>IF($C$11&gt;=5,$C$9,"")</f>
        <v>100000</v>
      </c>
      <c r="D38" s="17">
        <f>IF($C$11&gt;=5,E38-C38,"")</f>
        <v>76234.168320000055</v>
      </c>
      <c r="E38" s="17">
        <f>IF($C$11&gt;=5,$C$9*(1+$C$10/100)^5,"")</f>
        <v>176234.16832000006</v>
      </c>
      <c r="F38" s="17">
        <f>IF($C$11&gt;=5,E38/((1+$C$12/100)^5),"")</f>
        <v>131692.42261537237</v>
      </c>
    </row>
    <row r="39" spans="2:6" ht="19.5" customHeight="1" x14ac:dyDescent="0.2">
      <c r="B39" s="18">
        <f>IF($C$11&gt;=6,6,"")</f>
        <v>6</v>
      </c>
      <c r="C39" s="19">
        <f>IF($C$11&gt;=6,$C$9,"")</f>
        <v>100000</v>
      </c>
      <c r="D39" s="19">
        <f>IF($C$11&gt;=6,E39-C39,"")</f>
        <v>97382.268518400087</v>
      </c>
      <c r="E39" s="19">
        <f>IF($C$11&gt;=6,$C$9*(1+$C$10/100)^6,"")</f>
        <v>197382.26851840009</v>
      </c>
      <c r="F39" s="19">
        <f>IF($C$11&gt;=6,E39/((1+$C$12/100)^6),"")</f>
        <v>139146.71068794062</v>
      </c>
    </row>
    <row r="40" spans="2:6" ht="19.5" customHeight="1" x14ac:dyDescent="0.2">
      <c r="B40" s="16">
        <f>IF($C$11&gt;=7,7,"")</f>
        <v>7</v>
      </c>
      <c r="C40" s="17">
        <f>IF($C$11&gt;=7,$C$9,"")</f>
        <v>100000</v>
      </c>
      <c r="D40" s="17">
        <f>IF($C$11&gt;=7,E40-C40,"")</f>
        <v>121068.1407406081</v>
      </c>
      <c r="E40" s="17">
        <f>IF($C$11&gt;=7,$C$9*(1+$C$10/100)^7,"")</f>
        <v>221068.1407406081</v>
      </c>
      <c r="F40" s="17">
        <f>IF($C$11&gt;=7,E40/((1+$C$12/100)^7),"")</f>
        <v>147022.93959480518</v>
      </c>
    </row>
    <row r="41" spans="2:6" ht="19.5" customHeight="1" x14ac:dyDescent="0.2">
      <c r="B41" s="18">
        <f>IF($C$11&gt;=8,8,"")</f>
        <v>8</v>
      </c>
      <c r="C41" s="19">
        <f>IF($C$11&gt;=8,$C$9,"")</f>
        <v>100000</v>
      </c>
      <c r="D41" s="19">
        <f>IF($C$11&gt;=8,E41-C41,"")</f>
        <v>147596.31762948108</v>
      </c>
      <c r="E41" s="19">
        <f>IF($C$11&gt;=8,$C$9*(1+$C$10/100)^8,"")</f>
        <v>247596.31762948108</v>
      </c>
      <c r="F41" s="19">
        <f>IF($C$11&gt;=8,E41/((1+$C$12/100)^8),"")</f>
        <v>155344.99277941682</v>
      </c>
    </row>
    <row r="42" spans="2:6" ht="19.5" customHeight="1" x14ac:dyDescent="0.2">
      <c r="B42" s="16">
        <f>IF($C$11&gt;=9,9,"")</f>
        <v>9</v>
      </c>
      <c r="C42" s="17">
        <f>IF($C$11&gt;=9,$C$9,"")</f>
        <v>100000</v>
      </c>
      <c r="D42" s="17">
        <f>IF($C$11&gt;=9,E42-C42,"")</f>
        <v>177307.87574501883</v>
      </c>
      <c r="E42" s="17">
        <f>IF($C$11&gt;=9,$C$9*(1+$C$10/100)^9,"")</f>
        <v>277307.87574501883</v>
      </c>
      <c r="F42" s="17">
        <f>IF($C$11&gt;=9,E42/((1+$C$12/100)^9),"")</f>
        <v>164138.10557825174</v>
      </c>
    </row>
    <row r="43" spans="2:6" ht="19.5" customHeight="1" x14ac:dyDescent="0.2">
      <c r="B43" s="18">
        <f>IF($C$11&gt;=10,10,"")</f>
        <v>10</v>
      </c>
      <c r="C43" s="19">
        <f>IF($C$11&gt;=10,$C$9,"")</f>
        <v>100000</v>
      </c>
      <c r="D43" s="19">
        <f>IF($C$11&gt;=10,E43-C43,"")</f>
        <v>210584.82083442109</v>
      </c>
      <c r="E43" s="19">
        <f>IF($C$11&gt;=10,$C$9*(1+$C$10/100)^10,"")</f>
        <v>310584.82083442109</v>
      </c>
      <c r="F43" s="19">
        <f>IF($C$11&gt;=10,E43/((1+$C$12/100)^10),"")</f>
        <v>173428.94174305841</v>
      </c>
    </row>
    <row r="44" spans="2:6" ht="19.5" customHeight="1" x14ac:dyDescent="0.2">
      <c r="B44" s="16" t="str">
        <f>IF($C$11&gt;=11,11,"")</f>
        <v/>
      </c>
      <c r="C44" s="17" t="str">
        <f>IF($C$11&gt;=11,$C$9,"")</f>
        <v/>
      </c>
      <c r="D44" s="17" t="str">
        <f>IF($C$11&gt;=11,E44-C44,"")</f>
        <v/>
      </c>
      <c r="E44" s="17" t="str">
        <f>IF($C$11&gt;=11,$C$9*(1+$C$10/100)^11,"")</f>
        <v/>
      </c>
      <c r="F44" s="17" t="str">
        <f>IF($C$11&gt;=11,E44/((1+$C$12/100)^11),"")</f>
        <v/>
      </c>
    </row>
    <row r="45" spans="2:6" ht="19.5" customHeight="1" x14ac:dyDescent="0.2">
      <c r="B45" s="18" t="str">
        <f>IF($C$11&gt;=12,12,"")</f>
        <v/>
      </c>
      <c r="C45" s="19" t="str">
        <f>IF($C$11&gt;=12,$C$9,"")</f>
        <v/>
      </c>
      <c r="D45" s="19" t="str">
        <f>IF($C$11&gt;=12,E45-C45,"")</f>
        <v/>
      </c>
      <c r="E45" s="19" t="str">
        <f>IF($C$11&gt;=12,$C$9*(1+$C$10/100)^12,"")</f>
        <v/>
      </c>
      <c r="F45" s="19" t="str">
        <f>IF($C$11&gt;=12,E45/((1+$C$12/100)^12),"")</f>
        <v/>
      </c>
    </row>
    <row r="46" spans="2:6" ht="19.5" customHeight="1" x14ac:dyDescent="0.2">
      <c r="B46" s="16" t="str">
        <f>IF($C$11&gt;=13,13,"")</f>
        <v/>
      </c>
      <c r="C46" s="17" t="str">
        <f>IF($C$11&gt;=13,$C$9,"")</f>
        <v/>
      </c>
      <c r="D46" s="17" t="str">
        <f>IF($C$11&gt;=13,E46-C46,"")</f>
        <v/>
      </c>
      <c r="E46" s="17" t="str">
        <f>IF($C$11&gt;=13,$C$9*(1+$C$10/100)^13,"")</f>
        <v/>
      </c>
      <c r="F46" s="17" t="str">
        <f>IF($C$11&gt;=13,E46/((1+$C$12/100)^13),"")</f>
        <v/>
      </c>
    </row>
    <row r="47" spans="2:6" ht="19.5" customHeight="1" x14ac:dyDescent="0.2">
      <c r="B47" s="18" t="str">
        <f>IF($C$11&gt;=14,14,"")</f>
        <v/>
      </c>
      <c r="C47" s="19" t="str">
        <f>IF($C$11&gt;=14,$C$9,"")</f>
        <v/>
      </c>
      <c r="D47" s="19" t="str">
        <f>IF($C$11&gt;=14,E47-C47,"")</f>
        <v/>
      </c>
      <c r="E47" s="19" t="str">
        <f>IF($C$11&gt;=14,$C$9*(1+$C$10/100)^14,"")</f>
        <v/>
      </c>
      <c r="F47" s="19" t="str">
        <f>IF($C$11&gt;=14,E47/((1+$C$12/100)^14),"")</f>
        <v/>
      </c>
    </row>
    <row r="48" spans="2:6" ht="19.5" customHeight="1" x14ac:dyDescent="0.2">
      <c r="B48" s="16" t="str">
        <f>IF($C$11&gt;=15,15,"")</f>
        <v/>
      </c>
      <c r="C48" s="17" t="str">
        <f>IF($C$11&gt;=15,$C$9,"")</f>
        <v/>
      </c>
      <c r="D48" s="17" t="str">
        <f>IF($C$11&gt;=15,E48-C48,"")</f>
        <v/>
      </c>
      <c r="E48" s="17" t="str">
        <f>IF($C$11&gt;=15,$C$9*(1+$C$10/100)^15,"")</f>
        <v/>
      </c>
      <c r="F48" s="17" t="str">
        <f>IF($C$11&gt;=15,E48/((1+$C$12/100)^15),"")</f>
        <v/>
      </c>
    </row>
    <row r="49" spans="2:6" ht="19.5" customHeight="1" x14ac:dyDescent="0.2">
      <c r="B49" s="18" t="str">
        <f>IF($C$11&gt;=16,16,"")</f>
        <v/>
      </c>
      <c r="C49" s="19" t="str">
        <f>IF($C$11&gt;=16,$C$9,"")</f>
        <v/>
      </c>
      <c r="D49" s="19" t="str">
        <f>IF($C$11&gt;=16,E49-C49,"")</f>
        <v/>
      </c>
      <c r="E49" s="19" t="str">
        <f>IF($C$11&gt;=16,$C$9*(1+$C$10/100)^16,"")</f>
        <v/>
      </c>
      <c r="F49" s="19" t="str">
        <f>IF($C$11&gt;=16,E49/((1+$C$12/100)^16),"")</f>
        <v/>
      </c>
    </row>
    <row r="50" spans="2:6" ht="19.5" customHeight="1" x14ac:dyDescent="0.2">
      <c r="B50" s="16" t="str">
        <f>IF($C$11&gt;=17,17,"")</f>
        <v/>
      </c>
      <c r="C50" s="17" t="str">
        <f>IF($C$11&gt;=17,$C$9,"")</f>
        <v/>
      </c>
      <c r="D50" s="17" t="str">
        <f>IF($C$11&gt;=17,E50-C50,"")</f>
        <v/>
      </c>
      <c r="E50" s="17" t="str">
        <f>IF($C$11&gt;=17,$C$9*(1+$C$10/100)^17,"")</f>
        <v/>
      </c>
      <c r="F50" s="17" t="str">
        <f>IF($C$11&gt;=17,E50/((1+$C$12/100)^17),"")</f>
        <v/>
      </c>
    </row>
    <row r="51" spans="2:6" ht="19.5" customHeight="1" x14ac:dyDescent="0.2">
      <c r="B51" s="18" t="str">
        <f>IF($C$11&gt;=18,18,"")</f>
        <v/>
      </c>
      <c r="C51" s="19" t="str">
        <f>IF($C$11&gt;=18,$C$9,"")</f>
        <v/>
      </c>
      <c r="D51" s="19" t="str">
        <f>IF($C$11&gt;=18,E51-C51,"")</f>
        <v/>
      </c>
      <c r="E51" s="19" t="str">
        <f>IF($C$11&gt;=18,$C$9*(1+$C$10/100)^18,"")</f>
        <v/>
      </c>
      <c r="F51" s="19" t="str">
        <f>IF($C$11&gt;=18,E51/((1+$C$12/100)^18),"")</f>
        <v/>
      </c>
    </row>
    <row r="52" spans="2:6" ht="19.5" customHeight="1" x14ac:dyDescent="0.2">
      <c r="B52" s="16" t="str">
        <f>IF($C$11&gt;=19,19,"")</f>
        <v/>
      </c>
      <c r="C52" s="17" t="str">
        <f>IF($C$11&gt;=19,$C$9,"")</f>
        <v/>
      </c>
      <c r="D52" s="17" t="str">
        <f>IF($C$11&gt;=19,E52-C52,"")</f>
        <v/>
      </c>
      <c r="E52" s="17" t="str">
        <f>IF($C$11&gt;=19,$C$9*(1+$C$10/100)^19,"")</f>
        <v/>
      </c>
      <c r="F52" s="17" t="str">
        <f>IF($C$11&gt;=19,E52/((1+$C$12/100)^19),"")</f>
        <v/>
      </c>
    </row>
    <row r="53" spans="2:6" ht="19.5" customHeight="1" x14ac:dyDescent="0.2">
      <c r="B53" s="18" t="str">
        <f>IF($C$11&gt;=20,20,"")</f>
        <v/>
      </c>
      <c r="C53" s="19" t="str">
        <f>IF($C$11&gt;=20,$C$9,"")</f>
        <v/>
      </c>
      <c r="D53" s="19" t="str">
        <f>IF($C$11&gt;=20,E53-C53,"")</f>
        <v/>
      </c>
      <c r="E53" s="19" t="str">
        <f>IF($C$11&gt;=20,$C$9*(1+$C$10/100)^20,"")</f>
        <v/>
      </c>
      <c r="F53" s="19" t="str">
        <f>IF($C$11&gt;=20,E53/((1+$C$12/100)^20),"")</f>
        <v/>
      </c>
    </row>
    <row r="54" spans="2:6" ht="19.5" customHeight="1" x14ac:dyDescent="0.2">
      <c r="B54" s="16" t="str">
        <f>IF($C$11&gt;=21,21,"")</f>
        <v/>
      </c>
      <c r="C54" s="17" t="str">
        <f>IF($C$11&gt;=21,$C$9,"")</f>
        <v/>
      </c>
      <c r="D54" s="17" t="str">
        <f>IF($C$11&gt;=21,E54-C54,"")</f>
        <v/>
      </c>
      <c r="E54" s="17" t="str">
        <f>IF($C$11&gt;=21,$C$9*(1+$C$10/100)^21,"")</f>
        <v/>
      </c>
      <c r="F54" s="17" t="str">
        <f>IF($C$11&gt;=21,E54/((1+$C$12/100)^21),"")</f>
        <v/>
      </c>
    </row>
    <row r="55" spans="2:6" ht="19.5" customHeight="1" x14ac:dyDescent="0.2">
      <c r="B55" s="18" t="str">
        <f>IF($C$11&gt;=22,22,"")</f>
        <v/>
      </c>
      <c r="C55" s="19" t="str">
        <f>IF($C$11&gt;=22,$C$9,"")</f>
        <v/>
      </c>
      <c r="D55" s="19" t="str">
        <f>IF($C$11&gt;=22,E55-C55,"")</f>
        <v/>
      </c>
      <c r="E55" s="19" t="str">
        <f>IF($C$11&gt;=22,$C$9*(1+$C$10/100)^22,"")</f>
        <v/>
      </c>
      <c r="F55" s="19" t="str">
        <f>IF($C$11&gt;=22,E55/((1+$C$12/100)^22),"")</f>
        <v/>
      </c>
    </row>
    <row r="56" spans="2:6" ht="19.5" customHeight="1" x14ac:dyDescent="0.2">
      <c r="B56" s="16" t="str">
        <f>IF($C$11&gt;=23,23,"")</f>
        <v/>
      </c>
      <c r="C56" s="17" t="str">
        <f>IF($C$11&gt;=23,$C$9,"")</f>
        <v/>
      </c>
      <c r="D56" s="17" t="str">
        <f>IF($C$11&gt;=23,E56-C56,"")</f>
        <v/>
      </c>
      <c r="E56" s="17" t="str">
        <f>IF($C$11&gt;=23,$C$9*(1+$C$10/100)^23,"")</f>
        <v/>
      </c>
      <c r="F56" s="17" t="str">
        <f>IF($C$11&gt;=23,E56/((1+$C$12/100)^23),"")</f>
        <v/>
      </c>
    </row>
    <row r="57" spans="2:6" ht="19.5" customHeight="1" x14ac:dyDescent="0.2">
      <c r="B57" s="18" t="str">
        <f>IF($C$11&gt;=24,24,"")</f>
        <v/>
      </c>
      <c r="C57" s="19" t="str">
        <f>IF($C$11&gt;=24,$C$9,"")</f>
        <v/>
      </c>
      <c r="D57" s="19" t="str">
        <f>IF($C$11&gt;=24,E57-C57,"")</f>
        <v/>
      </c>
      <c r="E57" s="19" t="str">
        <f>IF($C$11&gt;=24,$C$9*(1+$C$10/100)^24,"")</f>
        <v/>
      </c>
      <c r="F57" s="19" t="str">
        <f>IF($C$11&gt;=24,E57/((1+$C$12/100)^24),"")</f>
        <v/>
      </c>
    </row>
    <row r="58" spans="2:6" ht="19.5" customHeight="1" x14ac:dyDescent="0.2">
      <c r="B58" s="16" t="str">
        <f>IF($C$11&gt;=25,25,"")</f>
        <v/>
      </c>
      <c r="C58" s="17" t="str">
        <f>IF($C$11&gt;=25,$C$9,"")</f>
        <v/>
      </c>
      <c r="D58" s="17" t="str">
        <f>IF($C$11&gt;=25,E58-C58,"")</f>
        <v/>
      </c>
      <c r="E58" s="17" t="str">
        <f>IF($C$11&gt;=25,$C$9*(1+$C$10/100)^25,"")</f>
        <v/>
      </c>
      <c r="F58" s="17" t="str">
        <f>IF($C$11&gt;=25,E58/((1+$C$12/100)^25),"")</f>
        <v/>
      </c>
    </row>
    <row r="59" spans="2:6" ht="19.5" customHeight="1" x14ac:dyDescent="0.2">
      <c r="B59" s="18" t="str">
        <f>IF($C$11&gt;=26,26,"")</f>
        <v/>
      </c>
      <c r="C59" s="19" t="str">
        <f>IF($C$11&gt;=26,$C$9,"")</f>
        <v/>
      </c>
      <c r="D59" s="19" t="str">
        <f>IF($C$11&gt;=26,E59-C59,"")</f>
        <v/>
      </c>
      <c r="E59" s="19" t="str">
        <f>IF($C$11&gt;=26,$C$9*(1+$C$10/100)^26,"")</f>
        <v/>
      </c>
      <c r="F59" s="19" t="str">
        <f>IF($C$11&gt;=26,E59/((1+$C$12/100)^26),"")</f>
        <v/>
      </c>
    </row>
    <row r="60" spans="2:6" ht="19.5" customHeight="1" x14ac:dyDescent="0.2">
      <c r="B60" s="16" t="str">
        <f>IF($C$11&gt;=27,27,"")</f>
        <v/>
      </c>
      <c r="C60" s="17" t="str">
        <f>IF($C$11&gt;=27,$C$9,"")</f>
        <v/>
      </c>
      <c r="D60" s="17" t="str">
        <f>IF($C$11&gt;=27,E60-C60,"")</f>
        <v/>
      </c>
      <c r="E60" s="17" t="str">
        <f>IF($C$11&gt;=27,$C$9*(1+$C$10/100)^27,"")</f>
        <v/>
      </c>
      <c r="F60" s="17" t="str">
        <f>IF($C$11&gt;=27,E60/((1+$C$12/100)^27),"")</f>
        <v/>
      </c>
    </row>
    <row r="61" spans="2:6" ht="19.5" customHeight="1" x14ac:dyDescent="0.2">
      <c r="B61" s="18" t="str">
        <f>IF($C$11&gt;=28,28,"")</f>
        <v/>
      </c>
      <c r="C61" s="19" t="str">
        <f>IF($C$11&gt;=28,$C$9,"")</f>
        <v/>
      </c>
      <c r="D61" s="19" t="str">
        <f>IF($C$11&gt;=28,E61-C61,"")</f>
        <v/>
      </c>
      <c r="E61" s="19" t="str">
        <f>IF($C$11&gt;=28,$C$9*(1+$C$10/100)^28,"")</f>
        <v/>
      </c>
      <c r="F61" s="19" t="str">
        <f>IF($C$11&gt;=28,E61/((1+$C$12/100)^28),"")</f>
        <v/>
      </c>
    </row>
    <row r="62" spans="2:6" ht="19.5" customHeight="1" x14ac:dyDescent="0.2">
      <c r="B62" s="16" t="str">
        <f>IF($C$11&gt;=29,29,"")</f>
        <v/>
      </c>
      <c r="C62" s="17" t="str">
        <f>IF($C$11&gt;=29,$C$9,"")</f>
        <v/>
      </c>
      <c r="D62" s="17" t="str">
        <f>IF($C$11&gt;=29,E62-C62,"")</f>
        <v/>
      </c>
      <c r="E62" s="17" t="str">
        <f>IF($C$11&gt;=29,$C$9*(1+$C$10/100)^29,"")</f>
        <v/>
      </c>
      <c r="F62" s="17" t="str">
        <f>IF($C$11&gt;=29,E62/((1+$C$12/100)^29),"")</f>
        <v/>
      </c>
    </row>
    <row r="63" spans="2:6" ht="19.5" customHeight="1" x14ac:dyDescent="0.2">
      <c r="B63" s="18" t="str">
        <f>IF($C$11&gt;=30,30,"")</f>
        <v/>
      </c>
      <c r="C63" s="19" t="str">
        <f>IF($C$11&gt;=30,$C$9,"")</f>
        <v/>
      </c>
      <c r="D63" s="19" t="str">
        <f>IF($C$11&gt;=30,E63-C63,"")</f>
        <v/>
      </c>
      <c r="E63" s="19" t="str">
        <f>IF($C$11&gt;=30,$C$9*(1+$C$10/100)^30,"")</f>
        <v/>
      </c>
      <c r="F63" s="19" t="str">
        <f>IF($C$11&gt;=30,E63/((1+$C$12/100)^30),"")</f>
        <v/>
      </c>
    </row>
    <row r="64" spans="2:6" ht="19.5" customHeight="1" x14ac:dyDescent="0.2">
      <c r="B64" s="16" t="str">
        <f>IF($C$11&gt;=31,31,"")</f>
        <v/>
      </c>
      <c r="C64" s="17" t="str">
        <f>IF($C$11&gt;=31,$C$9,"")</f>
        <v/>
      </c>
      <c r="D64" s="17" t="str">
        <f>IF($C$11&gt;=31,E64-C64,"")</f>
        <v/>
      </c>
      <c r="E64" s="17" t="str">
        <f>IF($C$11&gt;=31,$C$9*(1+$C$10/100)^31,"")</f>
        <v/>
      </c>
      <c r="F64" s="17" t="str">
        <f>IF($C$11&gt;=31,E64/((1+$C$12/100)^31),"")</f>
        <v/>
      </c>
    </row>
    <row r="65" spans="1:12" ht="19.5" customHeight="1" x14ac:dyDescent="0.2">
      <c r="B65" s="18" t="str">
        <f>IF($C$11&gt;=32,32,"")</f>
        <v/>
      </c>
      <c r="C65" s="19" t="str">
        <f>IF($C$11&gt;=32,$C$9,"")</f>
        <v/>
      </c>
      <c r="D65" s="19" t="str">
        <f>IF($C$11&gt;=32,E65-C65,"")</f>
        <v/>
      </c>
      <c r="E65" s="19" t="str">
        <f>IF($C$11&gt;=32,$C$9*(1+$C$10/100)^32,"")</f>
        <v/>
      </c>
      <c r="F65" s="19" t="str">
        <f>IF($C$11&gt;=32,E65/((1+$C$12/100)^32),"")</f>
        <v/>
      </c>
    </row>
    <row r="66" spans="1:12" ht="19.5" customHeight="1" x14ac:dyDescent="0.2">
      <c r="B66" s="16" t="str">
        <f>IF($C$11&gt;=33,33,"")</f>
        <v/>
      </c>
      <c r="C66" s="17" t="str">
        <f>IF($C$11&gt;=33,$C$9,"")</f>
        <v/>
      </c>
      <c r="D66" s="17" t="str">
        <f>IF($C$11&gt;=33,E66-C66,"")</f>
        <v/>
      </c>
      <c r="E66" s="17" t="str">
        <f>IF($C$11&gt;=33,$C$9*(1+$C$10/100)^33,"")</f>
        <v/>
      </c>
      <c r="F66" s="17" t="str">
        <f>IF($C$11&gt;=33,E66/((1+$C$12/100)^33),"")</f>
        <v/>
      </c>
    </row>
    <row r="67" spans="1:12" ht="19.5" customHeight="1" x14ac:dyDescent="0.2">
      <c r="B67" s="18" t="str">
        <f>IF($C$11&gt;=34,34,"")</f>
        <v/>
      </c>
      <c r="C67" s="19" t="str">
        <f>IF($C$11&gt;=34,$C$9,"")</f>
        <v/>
      </c>
      <c r="D67" s="19" t="str">
        <f>IF($C$11&gt;=34,E67-C67,"")</f>
        <v/>
      </c>
      <c r="E67" s="19" t="str">
        <f>IF($C$11&gt;=34,$C$9*(1+$C$10/100)^34,"")</f>
        <v/>
      </c>
      <c r="F67" s="19" t="str">
        <f>IF($C$11&gt;=34,E67/((1+$C$12/100)^34),"")</f>
        <v/>
      </c>
    </row>
    <row r="68" spans="1:12" ht="19.5" customHeight="1" x14ac:dyDescent="0.2">
      <c r="B68" s="16" t="str">
        <f>IF($C$11&gt;=35,35,"")</f>
        <v/>
      </c>
      <c r="C68" s="17" t="str">
        <f>IF($C$11&gt;=35,$C$9,"")</f>
        <v/>
      </c>
      <c r="D68" s="17" t="str">
        <f>IF($C$11&gt;=35,E68-C68,"")</f>
        <v/>
      </c>
      <c r="E68" s="17" t="str">
        <f>IF($C$11&gt;=35,$C$9*(1+$C$10/100)^35,"")</f>
        <v/>
      </c>
      <c r="F68" s="17" t="str">
        <f>IF($C$11&gt;=35,E68/((1+$C$12/100)^35),"")</f>
        <v/>
      </c>
    </row>
    <row r="69" spans="1:12" ht="19.5" customHeight="1" x14ac:dyDescent="0.2">
      <c r="B69" s="18" t="str">
        <f>IF($C$11&gt;=36,36,"")</f>
        <v/>
      </c>
      <c r="C69" s="19" t="str">
        <f>IF($C$11&gt;=36,$C$9,"")</f>
        <v/>
      </c>
      <c r="D69" s="19" t="str">
        <f>IF($C$11&gt;=36,E69-C69,"")</f>
        <v/>
      </c>
      <c r="E69" s="19" t="str">
        <f>IF($C$11&gt;=36,$C$9*(1+$C$10/100)^36,"")</f>
        <v/>
      </c>
      <c r="F69" s="19" t="str">
        <f>IF($C$11&gt;=36,E69/((1+$C$12/100)^36),"")</f>
        <v/>
      </c>
    </row>
    <row r="70" spans="1:12" ht="19.5" customHeight="1" x14ac:dyDescent="0.2">
      <c r="B70" s="16" t="str">
        <f>IF($C$11&gt;=37,37,"")</f>
        <v/>
      </c>
      <c r="C70" s="17" t="str">
        <f>IF($C$11&gt;=37,$C$9,"")</f>
        <v/>
      </c>
      <c r="D70" s="17" t="str">
        <f>IF($C$11&gt;=37,E70-C70,"")</f>
        <v/>
      </c>
      <c r="E70" s="17" t="str">
        <f>IF($C$11&gt;=37,$C$9*(1+$C$10/100)^37,"")</f>
        <v/>
      </c>
      <c r="F70" s="17" t="str">
        <f>IF($C$11&gt;=37,E70/((1+$C$12/100)^37),"")</f>
        <v/>
      </c>
    </row>
    <row r="71" spans="1:12" ht="19.5" customHeight="1" x14ac:dyDescent="0.2">
      <c r="B71" s="18" t="str">
        <f>IF($C$11&gt;=38,38,"")</f>
        <v/>
      </c>
      <c r="C71" s="19" t="str">
        <f>IF($C$11&gt;=38,$C$9,"")</f>
        <v/>
      </c>
      <c r="D71" s="19" t="str">
        <f>IF($C$11&gt;=38,E71-C71,"")</f>
        <v/>
      </c>
      <c r="E71" s="19" t="str">
        <f>IF($C$11&gt;=38,$C$9*(1+$C$10/100)^38,"")</f>
        <v/>
      </c>
      <c r="F71" s="19" t="str">
        <f>IF($C$11&gt;=38,E71/((1+$C$12/100)^38),"")</f>
        <v/>
      </c>
    </row>
    <row r="72" spans="1:12" ht="19.5" customHeight="1" x14ac:dyDescent="0.2">
      <c r="B72" s="16" t="str">
        <f>IF($C$11&gt;=39,39,"")</f>
        <v/>
      </c>
      <c r="C72" s="17" t="str">
        <f>IF($C$11&gt;=39,$C$9,"")</f>
        <v/>
      </c>
      <c r="D72" s="17" t="str">
        <f>IF($C$11&gt;=39,E72-C72,"")</f>
        <v/>
      </c>
      <c r="E72" s="17" t="str">
        <f>IF($C$11&gt;=39,$C$9*(1+$C$10/100)^39,"")</f>
        <v/>
      </c>
      <c r="F72" s="17" t="str">
        <f>IF($C$11&gt;=39,E72/((1+$C$12/100)^39),"")</f>
        <v/>
      </c>
    </row>
    <row r="73" spans="1:12" ht="19.5" customHeight="1" x14ac:dyDescent="0.2">
      <c r="B73" s="18" t="str">
        <f>IF($C$11&gt;=40,40,"")</f>
        <v/>
      </c>
      <c r="C73" s="19" t="str">
        <f>IF($C$11&gt;=40,$C$9,"")</f>
        <v/>
      </c>
      <c r="D73" s="19" t="str">
        <f>IF($C$11&gt;=40,E73-C73,"")</f>
        <v/>
      </c>
      <c r="E73" s="19" t="str">
        <f>IF($C$11&gt;=40,$C$9*(1+$C$10/100)^40,"")</f>
        <v/>
      </c>
      <c r="F73" s="19" t="str">
        <f>IF($C$11&gt;=40,E73/((1+$C$12/100)^40),"")</f>
        <v/>
      </c>
    </row>
    <row r="74" spans="1:12" ht="7.5" customHeight="1" x14ac:dyDescent="0.2"/>
    <row r="75" spans="1:12" ht="21.75" customHeight="1" x14ac:dyDescent="0.2">
      <c r="A75" s="6"/>
      <c r="B75" s="1" t="s">
        <v>23</v>
      </c>
      <c r="C75" s="1"/>
      <c r="D75" s="1"/>
      <c r="E75" s="1"/>
      <c r="F75" s="1"/>
      <c r="G75" s="1"/>
      <c r="H75" s="1"/>
      <c r="I75" s="1"/>
      <c r="J75" s="1"/>
      <c r="K75" s="1"/>
      <c r="L75" s="6"/>
    </row>
  </sheetData>
  <mergeCells count="9">
    <mergeCell ref="B14:F14"/>
    <mergeCell ref="H14:K14"/>
    <mergeCell ref="B32:F32"/>
    <mergeCell ref="B75:K75"/>
    <mergeCell ref="B3:K3"/>
    <mergeCell ref="B5:K5"/>
    <mergeCell ref="B6:K6"/>
    <mergeCell ref="B8:C8"/>
    <mergeCell ref="E8:F8"/>
  </mergeCells>
  <printOptions horizontalCentered="1"/>
  <pageMargins left="0.75" right="0.75" top="1" bottom="1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SIP Calculator</vt:lpstr>
      <vt:lpstr>Lumpsum Calculator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SIP &amp; Lumpsum Calculator — SIP Calculator Excel Sheet Download - tickjournal.com</dc:title>
  <dc:subject>Free SIP and Lumpsum Investment Calculator with charts</dc:subject>
  <dc:creator>tickjournal.com</dc:creator>
  <cp:keywords>SIP Lumpsum Mutual Fund Calculator Tickjournal</cp:keywords>
  <dc:description/>
  <cp:lastModifiedBy>Subash Krishnan</cp:lastModifiedBy>
  <cp:revision>1</cp:revision>
  <dcterms:created xsi:type="dcterms:W3CDTF">2026-05-03T08:24:31Z</dcterms:created>
  <dcterms:modified xsi:type="dcterms:W3CDTF">2026-05-03T08:36:32Z</dcterms:modified>
  <cp:category/>
  <dc:language>en-US</dc:language>
</cp:coreProperties>
</file>